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nectome\사용 그림\V9\Figure4\"/>
    </mc:Choice>
  </mc:AlternateContent>
  <xr:revisionPtr revIDLastSave="0" documentId="13_ncr:1_{3C0C57A2-40E9-4054-91A6-924B90B0B6A5}" xr6:coauthVersionLast="47" xr6:coauthVersionMax="47" xr10:uidLastSave="{00000000-0000-0000-0000-000000000000}"/>
  <bookViews>
    <workbookView xWindow="-120" yWindow="-120" windowWidth="29040" windowHeight="15720" xr2:uid="{4C3A26E4-5BAF-4190-9860-111457B0A583}"/>
  </bookViews>
  <sheets>
    <sheet name="FB_NT_Type_Thr5" sheetId="3" r:id="rId1"/>
    <sheet name="FB_NT_Type" sheetId="1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F9" i="3"/>
  <c r="E9" i="3"/>
  <c r="D9" i="3"/>
  <c r="C9" i="3"/>
  <c r="B9" i="3"/>
  <c r="I10" i="2"/>
  <c r="K1" i="2" s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<sst xmlns="http://schemas.openxmlformats.org/spreadsheetml/2006/main" count="66" uniqueCount="44">
  <si>
    <t>Low Score</t>
    <phoneticPr fontId="1" type="noConversion"/>
  </si>
  <si>
    <t>ACH</t>
    <phoneticPr fontId="1" type="noConversion"/>
  </si>
  <si>
    <t>DA</t>
    <phoneticPr fontId="1" type="noConversion"/>
  </si>
  <si>
    <t>GABA</t>
    <phoneticPr fontId="1" type="noConversion"/>
  </si>
  <si>
    <t>GLUT</t>
    <phoneticPr fontId="1" type="noConversion"/>
  </si>
  <si>
    <t>OCT</t>
    <phoneticPr fontId="1" type="noConversion"/>
  </si>
  <si>
    <t>SER</t>
    <phoneticPr fontId="1" type="noConversion"/>
  </si>
  <si>
    <t>Me R</t>
    <phoneticPr fontId="1" type="noConversion"/>
  </si>
  <si>
    <t>Lo R</t>
    <phoneticPr fontId="1" type="noConversion"/>
  </si>
  <si>
    <t>LoP R</t>
    <phoneticPr fontId="1" type="noConversion"/>
  </si>
  <si>
    <t>Me L</t>
    <phoneticPr fontId="1" type="noConversion"/>
  </si>
  <si>
    <t>Lo L</t>
    <phoneticPr fontId="1" type="noConversion"/>
  </si>
  <si>
    <t>LoP L</t>
    <phoneticPr fontId="1" type="noConversion"/>
  </si>
  <si>
    <t>Others</t>
    <phoneticPr fontId="1" type="noConversion"/>
  </si>
  <si>
    <t>'H1_right'</t>
  </si>
  <si>
    <t>'LC14a1_right'</t>
  </si>
  <si>
    <t>'LC14a2_right'</t>
  </si>
  <si>
    <t>'LC14b_right'</t>
  </si>
  <si>
    <t>'LPT45_dCal1_right'</t>
  </si>
  <si>
    <t>'LPT50_right'</t>
  </si>
  <si>
    <t>'LT54_right'</t>
  </si>
  <si>
    <t>'LT55_right'</t>
  </si>
  <si>
    <t>'MTe07_right'</t>
  </si>
  <si>
    <t>'MTe46_right'</t>
  </si>
  <si>
    <t>'MTe47_right'</t>
  </si>
  <si>
    <t>'MeLp1_right'</t>
  </si>
  <si>
    <t>'MeLp2_right'</t>
  </si>
  <si>
    <t>'MeMe_e01_right'</t>
  </si>
  <si>
    <t>'MeMe_e02_right'</t>
  </si>
  <si>
    <t>'MeMe_e03_right'</t>
  </si>
  <si>
    <t>'MeMe_e04_right'</t>
  </si>
  <si>
    <t>'MeMe_e05_right'</t>
  </si>
  <si>
    <t>'MeMe_e06_right'</t>
  </si>
  <si>
    <t>'MeMe_e07_right'</t>
  </si>
  <si>
    <t>'MeMe_e08_right'</t>
  </si>
  <si>
    <t>'MeMe_e09_right'</t>
  </si>
  <si>
    <t>'MeMe_e10_right'</t>
  </si>
  <si>
    <t>'MeMe_e11_right'</t>
  </si>
  <si>
    <t>'MeMe_e12_right'</t>
  </si>
  <si>
    <t>'MeMe_e13_right'</t>
  </si>
  <si>
    <t>'aMe10_right'</t>
  </si>
  <si>
    <t>'aMe19a_right'</t>
  </si>
  <si>
    <t>'aMe19b_right'</t>
  </si>
  <si>
    <t>'l-LNv_right'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</si>
</sst>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BADB0"/>
      <color rgb="FFE1A53E"/>
      <color rgb="FF793B8E"/>
      <color rgb="FF78A644"/>
      <color rgb="FF2173B3"/>
      <color rgb="FF962737"/>
      <color rgb="FFCF57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FB_NT_Type_Thr5!$B$1</c:f>
              <c:strCache>
                <c:ptCount val="1"/>
                <c:pt idx="0">
                  <c:v>Me R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16F3-47DA-B175-4C11B39447DF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16F3-47DA-B175-4C11B39447DF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16F3-47DA-B175-4C11B39447DF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16F3-47DA-B175-4C11B39447DF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16F3-47DA-B175-4C11B39447DF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16F3-47DA-B175-4C11B39447DF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16F3-47DA-B175-4C11B39447DF}"/>
              </c:ext>
            </c:extLst>
          </c:dPt>
          <c:cat>
            <c:strRef>
              <c:f>FB_NT_Type_Thr5!$A$2:$A$8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Low Score</c:v>
                </c:pt>
              </c:strCache>
            </c:strRef>
          </c:cat>
          <c:val>
            <c:numRef>
              <c:f>FB_NT_Type_Thr5!$B$2:$B$8</c:f>
              <c:numCache>
                <c:formatCode>General</c:formatCode>
                <c:ptCount val="7"/>
                <c:pt idx="0">
                  <c:v>13</c:v>
                </c:pt>
                <c:pt idx="1">
                  <c:v>0</c:v>
                </c:pt>
                <c:pt idx="2">
                  <c:v>7</c:v>
                </c:pt>
                <c:pt idx="3">
                  <c:v>23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6F3-47DA-B175-4C11B39447DF}"/>
            </c:ext>
          </c:extLst>
        </c:ser>
        <c:ser>
          <c:idx val="0"/>
          <c:order val="1"/>
          <c:tx>
            <c:strRef>
              <c:f>FB_NT_Type_Thr5!$B$1</c:f>
              <c:strCache>
                <c:ptCount val="1"/>
                <c:pt idx="0">
                  <c:v>Me R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6F3-47DA-B175-4C11B39447DF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6F3-47DA-B175-4C11B39447DF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6F3-47DA-B175-4C11B39447DF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6F3-47DA-B175-4C11B39447DF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6F3-47DA-B175-4C11B39447DF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6F3-47DA-B175-4C11B39447DF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6F3-47DA-B175-4C11B39447DF}"/>
              </c:ext>
            </c:extLst>
          </c:dPt>
          <c:cat>
            <c:strRef>
              <c:f>FB_NT_Type_Thr5!$A$2:$A$8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Low Score</c:v>
                </c:pt>
              </c:strCache>
            </c:strRef>
          </c:cat>
          <c:val>
            <c:numRef>
              <c:f>FB_NT_Type_Thr5!$B$2:$B$8</c:f>
              <c:numCache>
                <c:formatCode>General</c:formatCode>
                <c:ptCount val="7"/>
                <c:pt idx="0">
                  <c:v>13</c:v>
                </c:pt>
                <c:pt idx="1">
                  <c:v>0</c:v>
                </c:pt>
                <c:pt idx="2">
                  <c:v>7</c:v>
                </c:pt>
                <c:pt idx="3">
                  <c:v>23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6F3-47DA-B175-4C11B3944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r>
              <a:rPr lang="en-US" altLang="ko-KR" baseline="0"/>
              <a:t> R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DED8-4FE4-96C1-AACB3AB24364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DED8-4FE4-96C1-AACB3AB24364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DED8-4FE4-96C1-AACB3AB24364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DED8-4FE4-96C1-AACB3AB24364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DED8-4FE4-96C1-AACB3AB24364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DED8-4FE4-96C1-AACB3AB24364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DED8-4FE4-96C1-AACB3AB24364}"/>
              </c:ext>
            </c:extLst>
          </c:dPt>
          <c:val>
            <c:numRef>
              <c:f>FB_NT_Type_Thr5!$C$2:$C$8</c:f>
              <c:numCache>
                <c:formatCode>General</c:formatCode>
                <c:ptCount val="7"/>
                <c:pt idx="0">
                  <c:v>46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D8-4FE4-96C1-AACB3AB2436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ED8-4FE4-96C1-AACB3AB24364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ED8-4FE4-96C1-AACB3AB24364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ED8-4FE4-96C1-AACB3AB24364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ED8-4FE4-96C1-AACB3AB24364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ED8-4FE4-96C1-AACB3AB24364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ED8-4FE4-96C1-AACB3AB24364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ED8-4FE4-96C1-AACB3AB24364}"/>
              </c:ext>
            </c:extLst>
          </c:dPt>
          <c:val>
            <c:numRef>
              <c:f>FB_NT_Type_Thr5!$C$2:$C$8</c:f>
              <c:numCache>
                <c:formatCode>General</c:formatCode>
                <c:ptCount val="7"/>
                <c:pt idx="0">
                  <c:v>46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ED8-4FE4-96C1-AACB3AB24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 R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5CB0-4035-B4B3-2A0C648B1F0A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5CB0-4035-B4B3-2A0C648B1F0A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5CB0-4035-B4B3-2A0C648B1F0A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5CB0-4035-B4B3-2A0C648B1F0A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5CB0-4035-B4B3-2A0C648B1F0A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5CB0-4035-B4B3-2A0C648B1F0A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5CB0-4035-B4B3-2A0C648B1F0A}"/>
              </c:ext>
            </c:extLst>
          </c:dPt>
          <c:val>
            <c:numRef>
              <c:f>FB_NT_Type_Thr5!$D$2:$D$8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CB0-4035-B4B3-2A0C648B1F0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CB0-4035-B4B3-2A0C648B1F0A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CB0-4035-B4B3-2A0C648B1F0A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CB0-4035-B4B3-2A0C648B1F0A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CB0-4035-B4B3-2A0C648B1F0A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CB0-4035-B4B3-2A0C648B1F0A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CB0-4035-B4B3-2A0C648B1F0A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CB0-4035-B4B3-2A0C648B1F0A}"/>
              </c:ext>
            </c:extLst>
          </c:dPt>
          <c:val>
            <c:numRef>
              <c:f>FB_NT_Type_Thr5!$D$2:$D$8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CB0-4035-B4B3-2A0C648B1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 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277C-47EB-9EBD-04F30D934654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277C-47EB-9EBD-04F30D934654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277C-47EB-9EBD-04F30D934654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277C-47EB-9EBD-04F30D934654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277C-47EB-9EBD-04F30D934654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277C-47EB-9EBD-04F30D934654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277C-47EB-9EBD-04F30D934654}"/>
              </c:ext>
            </c:extLst>
          </c:dPt>
          <c:val>
            <c:numRef>
              <c:f>FB_NT_Type_Thr5!$E$2:$E$8</c:f>
              <c:numCache>
                <c:formatCode>General</c:formatCode>
                <c:ptCount val="7"/>
                <c:pt idx="0">
                  <c:v>24</c:v>
                </c:pt>
                <c:pt idx="1">
                  <c:v>0</c:v>
                </c:pt>
                <c:pt idx="2">
                  <c:v>7</c:v>
                </c:pt>
                <c:pt idx="3">
                  <c:v>21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7C-47EB-9EBD-04F30D93465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77C-47EB-9EBD-04F30D934654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77C-47EB-9EBD-04F30D934654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77C-47EB-9EBD-04F30D934654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77C-47EB-9EBD-04F30D934654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77C-47EB-9EBD-04F30D934654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277C-47EB-9EBD-04F30D934654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277C-47EB-9EBD-04F30D934654}"/>
              </c:ext>
            </c:extLst>
          </c:dPt>
          <c:val>
            <c:numRef>
              <c:f>FB_NT_Type_Thr5!$E$2:$E$8</c:f>
              <c:numCache>
                <c:formatCode>General</c:formatCode>
                <c:ptCount val="7"/>
                <c:pt idx="0">
                  <c:v>24</c:v>
                </c:pt>
                <c:pt idx="1">
                  <c:v>0</c:v>
                </c:pt>
                <c:pt idx="2">
                  <c:v>7</c:v>
                </c:pt>
                <c:pt idx="3">
                  <c:v>21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77C-47EB-9EBD-04F30D93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 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B1C3-4904-B839-CDED3CD894B0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B1C3-4904-B839-CDED3CD894B0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B1C3-4904-B839-CDED3CD894B0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B1C3-4904-B839-CDED3CD894B0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B1C3-4904-B839-CDED3CD894B0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B1C3-4904-B839-CDED3CD894B0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B1C3-4904-B839-CDED3CD894B0}"/>
              </c:ext>
            </c:extLst>
          </c:dPt>
          <c:val>
            <c:numRef>
              <c:f>FB_NT_Type_Thr5!$F$2:$F$8</c:f>
              <c:numCache>
                <c:formatCode>General</c:formatCode>
                <c:ptCount val="7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C3-4904-B839-CDED3CD894B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1C3-4904-B839-CDED3CD894B0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1C3-4904-B839-CDED3CD894B0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1C3-4904-B839-CDED3CD894B0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1C3-4904-B839-CDED3CD894B0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1C3-4904-B839-CDED3CD894B0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1C3-4904-B839-CDED3CD894B0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B1C3-4904-B839-CDED3CD894B0}"/>
              </c:ext>
            </c:extLst>
          </c:dPt>
          <c:val>
            <c:numRef>
              <c:f>FB_NT_Type_Thr5!$F$2:$F$8</c:f>
              <c:numCache>
                <c:formatCode>General</c:formatCode>
                <c:ptCount val="7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1C3-4904-B839-CDED3CD89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 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F505-4863-B0D4-B054F72D38D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F505-4863-B0D4-B054F72D38D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F505-4863-B0D4-B054F72D38D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F505-4863-B0D4-B054F72D38D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F505-4863-B0D4-B054F72D38D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F505-4863-B0D4-B054F72D38D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F505-4863-B0D4-B054F72D38DE}"/>
              </c:ext>
            </c:extLst>
          </c:dPt>
          <c:val>
            <c:numRef>
              <c:f>FB_NT_Type_Thr5!$G$2:$G$8</c:f>
              <c:numCache>
                <c:formatCode>General</c:formatCode>
                <c:ptCount val="7"/>
                <c:pt idx="0">
                  <c:v>17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05-4863-B0D4-B054F72D38D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505-4863-B0D4-B054F72D38D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505-4863-B0D4-B054F72D38D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505-4863-B0D4-B054F72D38D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505-4863-B0D4-B054F72D38D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505-4863-B0D4-B054F72D38D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505-4863-B0D4-B054F72D38D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505-4863-B0D4-B054F72D38DE}"/>
              </c:ext>
            </c:extLst>
          </c:dPt>
          <c:val>
            <c:numRef>
              <c:f>FB_NT_Type_Thr5!$G$2:$G$8</c:f>
              <c:numCache>
                <c:formatCode>General</c:formatCode>
                <c:ptCount val="7"/>
                <c:pt idx="0">
                  <c:v>17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505-4863-B0D4-B054F72D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FB_NT_Type!$B$1</c:f>
              <c:strCache>
                <c:ptCount val="1"/>
                <c:pt idx="0">
                  <c:v>Me R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DF88-4B10-A30D-E8705EAA00B3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DF88-4B10-A30D-E8705EAA00B3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DF88-4B10-A30D-E8705EAA00B3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DF88-4B10-A30D-E8705EAA00B3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DF88-4B10-A30D-E8705EAA00B3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DF88-4B10-A30D-E8705EAA00B3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DF88-4B10-A30D-E8705EAA00B3}"/>
              </c:ext>
            </c:extLst>
          </c:dPt>
          <c:cat>
            <c:strRef>
              <c:f>FB_NT_Type!$A$2:$A$8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Low Score</c:v>
                </c:pt>
              </c:strCache>
            </c:strRef>
          </c:cat>
          <c:val>
            <c:numRef>
              <c:f>FB_NT_Type!$B$2:$B$8</c:f>
              <c:numCache>
                <c:formatCode>General</c:formatCode>
                <c:ptCount val="7"/>
                <c:pt idx="0">
                  <c:v>16</c:v>
                </c:pt>
                <c:pt idx="1">
                  <c:v>0</c:v>
                </c:pt>
                <c:pt idx="2">
                  <c:v>7</c:v>
                </c:pt>
                <c:pt idx="3">
                  <c:v>23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F88-4B10-A30D-E8705EAA00B3}"/>
            </c:ext>
          </c:extLst>
        </c:ser>
        <c:ser>
          <c:idx val="0"/>
          <c:order val="1"/>
          <c:tx>
            <c:strRef>
              <c:f>FB_NT_Type!$B$1</c:f>
              <c:strCache>
                <c:ptCount val="1"/>
                <c:pt idx="0">
                  <c:v>Me R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F88-4B10-A30D-E8705EAA00B3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F88-4B10-A30D-E8705EAA00B3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F88-4B10-A30D-E8705EAA00B3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F88-4B10-A30D-E8705EAA00B3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F88-4B10-A30D-E8705EAA00B3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F88-4B10-A30D-E8705EAA00B3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F88-4B10-A30D-E8705EAA00B3}"/>
              </c:ext>
            </c:extLst>
          </c:dPt>
          <c:cat>
            <c:strRef>
              <c:f>FB_NT_Type!$A$2:$A$8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Low Score</c:v>
                </c:pt>
              </c:strCache>
            </c:strRef>
          </c:cat>
          <c:val>
            <c:numRef>
              <c:f>FB_NT_Type!$B$2:$B$8</c:f>
              <c:numCache>
                <c:formatCode>General</c:formatCode>
                <c:ptCount val="7"/>
                <c:pt idx="0">
                  <c:v>16</c:v>
                </c:pt>
                <c:pt idx="1">
                  <c:v>0</c:v>
                </c:pt>
                <c:pt idx="2">
                  <c:v>7</c:v>
                </c:pt>
                <c:pt idx="3">
                  <c:v>23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F88-4B10-A30D-E8705EAA0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r>
              <a:rPr lang="en-US" altLang="ko-KR" baseline="0"/>
              <a:t> R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AAEE-4517-8C91-8CE0F108BDB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AAEE-4517-8C91-8CE0F108BDB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AAEE-4517-8C91-8CE0F108BDB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AAEE-4517-8C91-8CE0F108BDB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AAEE-4517-8C91-8CE0F108BDB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AAEE-4517-8C91-8CE0F108BDB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AAEE-4517-8C91-8CE0F108BDB9}"/>
              </c:ext>
            </c:extLst>
          </c:dPt>
          <c:val>
            <c:numRef>
              <c:f>FB_NT_Type!$C$2:$C$8</c:f>
              <c:numCache>
                <c:formatCode>General</c:formatCode>
                <c:ptCount val="7"/>
                <c:pt idx="0">
                  <c:v>50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AEE-4517-8C91-8CE0F108BDB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AEE-4517-8C91-8CE0F108BDB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AEE-4517-8C91-8CE0F108BDB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AEE-4517-8C91-8CE0F108BDB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AEE-4517-8C91-8CE0F108BDB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AEE-4517-8C91-8CE0F108BDB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AEE-4517-8C91-8CE0F108BDB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AEE-4517-8C91-8CE0F108BDB9}"/>
              </c:ext>
            </c:extLst>
          </c:dPt>
          <c:val>
            <c:numRef>
              <c:f>FB_NT_Type!$C$2:$C$8</c:f>
              <c:numCache>
                <c:formatCode>General</c:formatCode>
                <c:ptCount val="7"/>
                <c:pt idx="0">
                  <c:v>50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AEE-4517-8C91-8CE0F108B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 R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9C65-4CA1-8645-00A63EB9D71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9C65-4CA1-8645-00A63EB9D71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9C65-4CA1-8645-00A63EB9D71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9C65-4CA1-8645-00A63EB9D71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9C65-4CA1-8645-00A63EB9D71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9C65-4CA1-8645-00A63EB9D71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9C65-4CA1-8645-00A63EB9D716}"/>
              </c:ext>
            </c:extLst>
          </c:dPt>
          <c:val>
            <c:numRef>
              <c:f>FB_NT_Type!$D$2:$D$8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C65-4CA1-8645-00A63EB9D71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C65-4CA1-8645-00A63EB9D71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C65-4CA1-8645-00A63EB9D71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C65-4CA1-8645-00A63EB9D71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9C65-4CA1-8645-00A63EB9D71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C65-4CA1-8645-00A63EB9D71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C65-4CA1-8645-00A63EB9D71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9C65-4CA1-8645-00A63EB9D716}"/>
              </c:ext>
            </c:extLst>
          </c:dPt>
          <c:val>
            <c:numRef>
              <c:f>FB_NT_Type!$D$2:$D$8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C65-4CA1-8645-00A63EB9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 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4890-404C-A323-43AE989EAA0B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4890-404C-A323-43AE989EAA0B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4890-404C-A323-43AE989EAA0B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4890-404C-A323-43AE989EAA0B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4890-404C-A323-43AE989EAA0B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4890-404C-A323-43AE989EAA0B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4890-404C-A323-43AE989EAA0B}"/>
              </c:ext>
            </c:extLst>
          </c:dPt>
          <c:val>
            <c:numRef>
              <c:f>FB_NT_Type!$E$2:$E$8</c:f>
              <c:numCache>
                <c:formatCode>General</c:formatCode>
                <c:ptCount val="7"/>
                <c:pt idx="0">
                  <c:v>25</c:v>
                </c:pt>
                <c:pt idx="1">
                  <c:v>0</c:v>
                </c:pt>
                <c:pt idx="2">
                  <c:v>7</c:v>
                </c:pt>
                <c:pt idx="3">
                  <c:v>21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890-404C-A323-43AE989EAA0B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890-404C-A323-43AE989EAA0B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890-404C-A323-43AE989EAA0B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890-404C-A323-43AE989EAA0B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890-404C-A323-43AE989EAA0B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890-404C-A323-43AE989EAA0B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890-404C-A323-43AE989EAA0B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890-404C-A323-43AE989EAA0B}"/>
              </c:ext>
            </c:extLst>
          </c:dPt>
          <c:val>
            <c:numRef>
              <c:f>FB_NT_Type!$E$2:$E$8</c:f>
              <c:numCache>
                <c:formatCode>General</c:formatCode>
                <c:ptCount val="7"/>
                <c:pt idx="0">
                  <c:v>25</c:v>
                </c:pt>
                <c:pt idx="1">
                  <c:v>0</c:v>
                </c:pt>
                <c:pt idx="2">
                  <c:v>7</c:v>
                </c:pt>
                <c:pt idx="3">
                  <c:v>21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890-404C-A323-43AE989EA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 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C02E-4F00-BBA3-B21CA882646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C02E-4F00-BBA3-B21CA882646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C02E-4F00-BBA3-B21CA882646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C02E-4F00-BBA3-B21CA882646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C02E-4F00-BBA3-B21CA882646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C02E-4F00-BBA3-B21CA882646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C02E-4F00-BBA3-B21CA882646E}"/>
              </c:ext>
            </c:extLst>
          </c:dPt>
          <c:val>
            <c:numRef>
              <c:f>FB_NT_Type!$F$2:$F$8</c:f>
              <c:numCache>
                <c:formatCode>General</c:formatCode>
                <c:ptCount val="7"/>
                <c:pt idx="0">
                  <c:v>54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02E-4F00-BBA3-B21CA882646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02E-4F00-BBA3-B21CA882646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02E-4F00-BBA3-B21CA882646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02E-4F00-BBA3-B21CA882646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02E-4F00-BBA3-B21CA882646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02E-4F00-BBA3-B21CA882646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02E-4F00-BBA3-B21CA882646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02E-4F00-BBA3-B21CA882646E}"/>
              </c:ext>
            </c:extLst>
          </c:dPt>
          <c:val>
            <c:numRef>
              <c:f>FB_NT_Type!$F$2:$F$8</c:f>
              <c:numCache>
                <c:formatCode>General</c:formatCode>
                <c:ptCount val="7"/>
                <c:pt idx="0">
                  <c:v>54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02E-4F00-BBA3-B21CA8826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 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04E8-450F-AE38-ED73EF0FABA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04E8-450F-AE38-ED73EF0FABA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04E8-450F-AE38-ED73EF0FABA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04E8-450F-AE38-ED73EF0FABA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04E8-450F-AE38-ED73EF0FABA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04E8-450F-AE38-ED73EF0FABA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04E8-450F-AE38-ED73EF0FABA9}"/>
              </c:ext>
            </c:extLst>
          </c:dPt>
          <c:val>
            <c:numRef>
              <c:f>FB_NT_Type!$G$2:$G$8</c:f>
              <c:numCache>
                <c:formatCode>General</c:formatCode>
                <c:ptCount val="7"/>
                <c:pt idx="0">
                  <c:v>19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4E8-450F-AE38-ED73EF0FABA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4E8-450F-AE38-ED73EF0FABA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4E8-450F-AE38-ED73EF0FABA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4E8-450F-AE38-ED73EF0FABA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4E8-450F-AE38-ED73EF0FABA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4E8-450F-AE38-ED73EF0FABA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4E8-450F-AE38-ED73EF0FABA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4E8-450F-AE38-ED73EF0FABA9}"/>
              </c:ext>
            </c:extLst>
          </c:dPt>
          <c:val>
            <c:numRef>
              <c:f>FB_NT_Type!$G$2:$G$8</c:f>
              <c:numCache>
                <c:formatCode>General</c:formatCode>
                <c:ptCount val="7"/>
                <c:pt idx="0">
                  <c:v>19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4E8-450F-AE38-ED73EF0F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200024</xdr:rowOff>
    </xdr:from>
    <xdr:to>
      <xdr:col>9</xdr:col>
      <xdr:colOff>273600</xdr:colOff>
      <xdr:row>26</xdr:row>
      <xdr:rowOff>28124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3A4FE66-850F-4CE3-B0C7-996F53F7B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271462</xdr:colOff>
      <xdr:row>8</xdr:row>
      <xdr:rowOff>200025</xdr:rowOff>
    </xdr:from>
    <xdr:to>
      <xdr:col>17</xdr:col>
      <xdr:colOff>545062</xdr:colOff>
      <xdr:row>26</xdr:row>
      <xdr:rowOff>28125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538BCC9-842B-4536-91B7-46EBB2124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31976</xdr:colOff>
      <xdr:row>26</xdr:row>
      <xdr:rowOff>47624</xdr:rowOff>
    </xdr:from>
    <xdr:to>
      <xdr:col>9</xdr:col>
      <xdr:colOff>349119</xdr:colOff>
      <xdr:row>43</xdr:row>
      <xdr:rowOff>177803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A9D33CA-EDED-47F4-A76C-17316F403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328612</xdr:colOff>
      <xdr:row>26</xdr:row>
      <xdr:rowOff>38100</xdr:rowOff>
    </xdr:from>
    <xdr:to>
      <xdr:col>17</xdr:col>
      <xdr:colOff>602212</xdr:colOff>
      <xdr:row>43</xdr:row>
      <xdr:rowOff>75750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E3D452C-D972-4514-B89F-DF46143EC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42862</xdr:colOff>
      <xdr:row>43</xdr:row>
      <xdr:rowOff>171450</xdr:rowOff>
    </xdr:from>
    <xdr:to>
      <xdr:col>9</xdr:col>
      <xdr:colOff>316462</xdr:colOff>
      <xdr:row>60</xdr:row>
      <xdr:rowOff>209100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D7419F9-83FE-470F-BCA2-2DF560636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442912</xdr:colOff>
      <xdr:row>43</xdr:row>
      <xdr:rowOff>180975</xdr:rowOff>
    </xdr:from>
    <xdr:to>
      <xdr:col>18</xdr:col>
      <xdr:colOff>30712</xdr:colOff>
      <xdr:row>61</xdr:row>
      <xdr:rowOff>9075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A6E114D-7E2B-46A5-98EC-AB45A84F5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200024</xdr:rowOff>
    </xdr:from>
    <xdr:to>
      <xdr:col>9</xdr:col>
      <xdr:colOff>273600</xdr:colOff>
      <xdr:row>26</xdr:row>
      <xdr:rowOff>28124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D03F54D-C19A-C038-F1F8-FE1A8557A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271462</xdr:colOff>
      <xdr:row>8</xdr:row>
      <xdr:rowOff>200025</xdr:rowOff>
    </xdr:from>
    <xdr:to>
      <xdr:col>17</xdr:col>
      <xdr:colOff>545062</xdr:colOff>
      <xdr:row>26</xdr:row>
      <xdr:rowOff>28125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E1E0C9C-527C-5695-A5CF-08A541D9B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31976</xdr:colOff>
      <xdr:row>26</xdr:row>
      <xdr:rowOff>47624</xdr:rowOff>
    </xdr:from>
    <xdr:to>
      <xdr:col>9</xdr:col>
      <xdr:colOff>349119</xdr:colOff>
      <xdr:row>43</xdr:row>
      <xdr:rowOff>177803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A556894-3687-83C6-81B2-66EFE92C8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328612</xdr:colOff>
      <xdr:row>26</xdr:row>
      <xdr:rowOff>38100</xdr:rowOff>
    </xdr:from>
    <xdr:to>
      <xdr:col>17</xdr:col>
      <xdr:colOff>602212</xdr:colOff>
      <xdr:row>43</xdr:row>
      <xdr:rowOff>75750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EEBF565-7484-D650-1DA9-8BE828FC7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42862</xdr:colOff>
      <xdr:row>43</xdr:row>
      <xdr:rowOff>171450</xdr:rowOff>
    </xdr:from>
    <xdr:to>
      <xdr:col>9</xdr:col>
      <xdr:colOff>316462</xdr:colOff>
      <xdr:row>60</xdr:row>
      <xdr:rowOff>209100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000B791-7072-CD4A-AC95-6816A80F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442912</xdr:colOff>
      <xdr:row>43</xdr:row>
      <xdr:rowOff>180975</xdr:rowOff>
    </xdr:from>
    <xdr:to>
      <xdr:col>18</xdr:col>
      <xdr:colOff>30712</xdr:colOff>
      <xdr:row>61</xdr:row>
      <xdr:rowOff>9075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568BFF6-59F5-5486-02A8-87C12AD6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A18A-6B57-409A-A64A-A0855F8BBCEE}">
  <dimension ref="A1:G9"/>
  <sheetViews>
    <sheetView tabSelected="1" zoomScale="85" zoomScaleNormal="85" workbookViewId="0">
      <selection activeCell="G8" sqref="G8"/>
    </sheetView>
  </sheetViews>
  <sheetFormatPr defaultRowHeight="16.5" x14ac:dyDescent="0.3"/>
  <sheetData>
    <row r="1" spans="1:7" x14ac:dyDescent="0.3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</v>
      </c>
      <c r="B2">
        <v>13</v>
      </c>
      <c r="C2">
        <v>46</v>
      </c>
      <c r="D2">
        <v>1</v>
      </c>
      <c r="E2">
        <v>24</v>
      </c>
      <c r="F2">
        <v>53</v>
      </c>
      <c r="G2">
        <v>17</v>
      </c>
    </row>
    <row r="3" spans="1:7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</v>
      </c>
      <c r="B4">
        <v>7</v>
      </c>
      <c r="C4">
        <v>2</v>
      </c>
      <c r="D4">
        <v>3</v>
      </c>
      <c r="E4">
        <v>7</v>
      </c>
      <c r="F4">
        <v>0</v>
      </c>
      <c r="G4">
        <v>3</v>
      </c>
    </row>
    <row r="5" spans="1:7" x14ac:dyDescent="0.3">
      <c r="A5" t="s">
        <v>4</v>
      </c>
      <c r="B5">
        <v>23</v>
      </c>
      <c r="C5">
        <v>3</v>
      </c>
      <c r="D5">
        <v>1</v>
      </c>
      <c r="E5">
        <v>21</v>
      </c>
      <c r="F5">
        <v>4</v>
      </c>
      <c r="G5">
        <v>3</v>
      </c>
    </row>
    <row r="6" spans="1:7" x14ac:dyDescent="0.3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s="1" t="s">
        <v>6</v>
      </c>
      <c r="B7">
        <v>4</v>
      </c>
      <c r="C7">
        <v>0</v>
      </c>
      <c r="D7">
        <v>0</v>
      </c>
      <c r="E7">
        <v>4</v>
      </c>
      <c r="F7">
        <v>0</v>
      </c>
      <c r="G7">
        <v>0</v>
      </c>
    </row>
    <row r="8" spans="1:7" x14ac:dyDescent="0.3">
      <c r="A8" t="s">
        <v>0</v>
      </c>
      <c r="B8">
        <v>9</v>
      </c>
      <c r="C8">
        <v>1</v>
      </c>
      <c r="D8">
        <v>0</v>
      </c>
      <c r="E8">
        <v>8</v>
      </c>
      <c r="F8">
        <v>1</v>
      </c>
      <c r="G8">
        <v>2</v>
      </c>
    </row>
    <row r="9" spans="1:7" x14ac:dyDescent="0.3">
      <c r="B9">
        <f>SUM(B2:B8)</f>
        <v>56</v>
      </c>
      <c r="C9">
        <f t="shared" ref="C9:G9" si="0">SUM(C2:C8)</f>
        <v>52</v>
      </c>
      <c r="D9">
        <f t="shared" si="0"/>
        <v>5</v>
      </c>
      <c r="E9">
        <f t="shared" si="0"/>
        <v>64</v>
      </c>
      <c r="F9">
        <f t="shared" si="0"/>
        <v>58</v>
      </c>
      <c r="G9">
        <f t="shared" si="0"/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B2F2-B6FB-4AE1-A1E7-ED4E793DDB3C}">
  <dimension ref="A1:G9"/>
  <sheetViews>
    <sheetView zoomScale="85" zoomScaleNormal="85" workbookViewId="0">
      <selection activeCell="L6" sqref="L6"/>
    </sheetView>
  </sheetViews>
  <sheetFormatPr defaultRowHeight="16.5" x14ac:dyDescent="0.3"/>
  <sheetData>
    <row r="1" spans="1:7" x14ac:dyDescent="0.3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</v>
      </c>
      <c r="B2">
        <v>16</v>
      </c>
      <c r="C2">
        <v>50</v>
      </c>
      <c r="D2">
        <v>4</v>
      </c>
      <c r="E2">
        <v>25</v>
      </c>
      <c r="F2">
        <v>54</v>
      </c>
      <c r="G2">
        <v>19</v>
      </c>
    </row>
    <row r="3" spans="1:7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</v>
      </c>
      <c r="B4">
        <v>7</v>
      </c>
      <c r="C4">
        <v>3</v>
      </c>
      <c r="D4">
        <v>3</v>
      </c>
      <c r="E4">
        <v>7</v>
      </c>
      <c r="F4">
        <v>3</v>
      </c>
      <c r="G4">
        <v>3</v>
      </c>
    </row>
    <row r="5" spans="1:7" x14ac:dyDescent="0.3">
      <c r="A5" t="s">
        <v>4</v>
      </c>
      <c r="B5">
        <v>23</v>
      </c>
      <c r="C5">
        <v>4</v>
      </c>
      <c r="D5">
        <v>3</v>
      </c>
      <c r="E5">
        <v>21</v>
      </c>
      <c r="F5">
        <v>7</v>
      </c>
      <c r="G5">
        <v>4</v>
      </c>
    </row>
    <row r="6" spans="1:7" x14ac:dyDescent="0.3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s="1" t="s">
        <v>6</v>
      </c>
      <c r="B7">
        <v>4</v>
      </c>
      <c r="C7">
        <v>0</v>
      </c>
      <c r="D7">
        <v>0</v>
      </c>
      <c r="E7">
        <v>4</v>
      </c>
      <c r="F7">
        <v>0</v>
      </c>
      <c r="G7">
        <v>0</v>
      </c>
    </row>
    <row r="8" spans="1:7" x14ac:dyDescent="0.3">
      <c r="A8" t="s">
        <v>0</v>
      </c>
      <c r="B8">
        <v>9</v>
      </c>
      <c r="C8">
        <v>1</v>
      </c>
      <c r="D8">
        <v>0</v>
      </c>
      <c r="E8">
        <v>8</v>
      </c>
      <c r="F8">
        <v>4</v>
      </c>
      <c r="G8">
        <v>2</v>
      </c>
    </row>
    <row r="9" spans="1:7" x14ac:dyDescent="0.3">
      <c r="B9">
        <f>SUM(B2:B8)</f>
        <v>59</v>
      </c>
      <c r="C9">
        <f t="shared" ref="C9:G9" si="0">SUM(C2:C8)</f>
        <v>58</v>
      </c>
      <c r="D9">
        <f t="shared" si="0"/>
        <v>10</v>
      </c>
      <c r="E9">
        <f t="shared" si="0"/>
        <v>65</v>
      </c>
      <c r="F9">
        <f t="shared" si="0"/>
        <v>68</v>
      </c>
      <c r="G9">
        <f t="shared" si="0"/>
        <v>28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2B93-6E3F-4F6F-997C-A801BF6ADD71}">
  <dimension ref="A1:K30"/>
  <sheetViews>
    <sheetView workbookViewId="0">
      <selection activeCell="I11" sqref="I11"/>
    </sheetView>
  </sheetViews>
  <sheetFormatPr defaultRowHeight="16.5" x14ac:dyDescent="0.3"/>
  <cols>
    <col min="1" max="1" width="18.5" bestFit="1" customWidth="1"/>
    <col min="8" max="8" width="16.875" bestFit="1" customWidth="1"/>
  </cols>
  <sheetData>
    <row r="1" spans="1:11" x14ac:dyDescent="0.3">
      <c r="A1" t="s">
        <v>14</v>
      </c>
      <c r="B1">
        <v>1</v>
      </c>
      <c r="H1" t="s">
        <v>17</v>
      </c>
      <c r="I1">
        <v>18</v>
      </c>
      <c r="K1">
        <f>SUM(I:I)</f>
        <v>106</v>
      </c>
    </row>
    <row r="2" spans="1:11" x14ac:dyDescent="0.3">
      <c r="A2" t="s">
        <v>15</v>
      </c>
      <c r="B2">
        <v>15</v>
      </c>
      <c r="H2" t="s">
        <v>15</v>
      </c>
      <c r="I2">
        <v>15</v>
      </c>
    </row>
    <row r="3" spans="1:11" x14ac:dyDescent="0.3">
      <c r="A3" t="s">
        <v>16</v>
      </c>
      <c r="B3">
        <v>12</v>
      </c>
      <c r="H3" t="s">
        <v>16</v>
      </c>
      <c r="I3">
        <v>12</v>
      </c>
    </row>
    <row r="4" spans="1:11" x14ac:dyDescent="0.3">
      <c r="A4" t="s">
        <v>17</v>
      </c>
      <c r="B4">
        <v>18</v>
      </c>
      <c r="H4" t="s">
        <v>28</v>
      </c>
      <c r="I4">
        <v>9</v>
      </c>
    </row>
    <row r="5" spans="1:11" x14ac:dyDescent="0.3">
      <c r="A5" t="s">
        <v>18</v>
      </c>
      <c r="B5">
        <v>1</v>
      </c>
      <c r="H5" t="s">
        <v>22</v>
      </c>
      <c r="I5">
        <v>6</v>
      </c>
    </row>
    <row r="6" spans="1:11" x14ac:dyDescent="0.3">
      <c r="A6" t="s">
        <v>19</v>
      </c>
      <c r="B6">
        <v>1</v>
      </c>
      <c r="H6" t="s">
        <v>27</v>
      </c>
      <c r="I6">
        <v>6</v>
      </c>
    </row>
    <row r="7" spans="1:11" x14ac:dyDescent="0.3">
      <c r="A7" t="s">
        <v>20</v>
      </c>
      <c r="B7">
        <v>1</v>
      </c>
      <c r="H7" t="s">
        <v>34</v>
      </c>
      <c r="I7">
        <v>6</v>
      </c>
    </row>
    <row r="8" spans="1:11" x14ac:dyDescent="0.3">
      <c r="A8" t="s">
        <v>21</v>
      </c>
      <c r="B8">
        <v>1</v>
      </c>
      <c r="H8" t="s">
        <v>33</v>
      </c>
      <c r="I8">
        <v>5</v>
      </c>
    </row>
    <row r="9" spans="1:11" x14ac:dyDescent="0.3">
      <c r="A9" t="s">
        <v>22</v>
      </c>
      <c r="B9">
        <v>6</v>
      </c>
      <c r="H9" t="s">
        <v>43</v>
      </c>
      <c r="I9">
        <v>4</v>
      </c>
    </row>
    <row r="10" spans="1:11" x14ac:dyDescent="0.3">
      <c r="A10" t="s">
        <v>23</v>
      </c>
      <c r="B10">
        <v>1</v>
      </c>
      <c r="H10" t="s">
        <v>13</v>
      </c>
      <c r="I10">
        <f>SUM(B:B)-SUM(I1:I9)</f>
        <v>25</v>
      </c>
    </row>
    <row r="11" spans="1:11" x14ac:dyDescent="0.3">
      <c r="A11" t="s">
        <v>24</v>
      </c>
      <c r="B11">
        <v>2</v>
      </c>
    </row>
    <row r="12" spans="1:11" x14ac:dyDescent="0.3">
      <c r="A12" t="s">
        <v>25</v>
      </c>
      <c r="B12">
        <v>1</v>
      </c>
    </row>
    <row r="13" spans="1:11" x14ac:dyDescent="0.3">
      <c r="A13" t="s">
        <v>26</v>
      </c>
      <c r="B13">
        <v>1</v>
      </c>
    </row>
    <row r="14" spans="1:11" x14ac:dyDescent="0.3">
      <c r="A14" t="s">
        <v>27</v>
      </c>
      <c r="B14">
        <v>6</v>
      </c>
    </row>
    <row r="15" spans="1:11" x14ac:dyDescent="0.3">
      <c r="A15" t="s">
        <v>28</v>
      </c>
      <c r="B15">
        <v>9</v>
      </c>
    </row>
    <row r="16" spans="1:11" x14ac:dyDescent="0.3">
      <c r="A16" t="s">
        <v>29</v>
      </c>
      <c r="B16">
        <v>1</v>
      </c>
    </row>
    <row r="17" spans="1:2" x14ac:dyDescent="0.3">
      <c r="A17" t="s">
        <v>30</v>
      </c>
      <c r="B17">
        <v>2</v>
      </c>
    </row>
    <row r="18" spans="1:2" x14ac:dyDescent="0.3">
      <c r="A18" t="s">
        <v>31</v>
      </c>
      <c r="B18">
        <v>1</v>
      </c>
    </row>
    <row r="19" spans="1:2" x14ac:dyDescent="0.3">
      <c r="A19" t="s">
        <v>32</v>
      </c>
      <c r="B19">
        <v>1</v>
      </c>
    </row>
    <row r="20" spans="1:2" x14ac:dyDescent="0.3">
      <c r="A20" t="s">
        <v>33</v>
      </c>
      <c r="B20">
        <v>5</v>
      </c>
    </row>
    <row r="21" spans="1:2" x14ac:dyDescent="0.3">
      <c r="A21" t="s">
        <v>34</v>
      </c>
      <c r="B21">
        <v>6</v>
      </c>
    </row>
    <row r="22" spans="1:2" x14ac:dyDescent="0.3">
      <c r="A22" t="s">
        <v>35</v>
      </c>
      <c r="B22">
        <v>1</v>
      </c>
    </row>
    <row r="23" spans="1:2" x14ac:dyDescent="0.3">
      <c r="A23" t="s">
        <v>36</v>
      </c>
      <c r="B23">
        <v>2</v>
      </c>
    </row>
    <row r="24" spans="1:2" x14ac:dyDescent="0.3">
      <c r="A24" t="s">
        <v>37</v>
      </c>
      <c r="B24">
        <v>2</v>
      </c>
    </row>
    <row r="25" spans="1:2" x14ac:dyDescent="0.3">
      <c r="A25" t="s">
        <v>38</v>
      </c>
      <c r="B25">
        <v>1</v>
      </c>
    </row>
    <row r="26" spans="1:2" x14ac:dyDescent="0.3">
      <c r="A26" t="s">
        <v>39</v>
      </c>
      <c r="B26">
        <v>1</v>
      </c>
    </row>
    <row r="27" spans="1:2" x14ac:dyDescent="0.3">
      <c r="A27" t="s">
        <v>40</v>
      </c>
      <c r="B27">
        <v>1</v>
      </c>
    </row>
    <row r="28" spans="1:2" x14ac:dyDescent="0.3">
      <c r="A28" t="s">
        <v>41</v>
      </c>
      <c r="B28">
        <v>1</v>
      </c>
    </row>
    <row r="29" spans="1:2" x14ac:dyDescent="0.3">
      <c r="A29" t="s">
        <v>42</v>
      </c>
      <c r="B29">
        <v>1</v>
      </c>
    </row>
    <row r="30" spans="1:2" x14ac:dyDescent="0.3">
      <c r="A30" t="s">
        <v>43</v>
      </c>
      <c r="B30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FB_NT_Type_Thr5</vt:lpstr>
      <vt:lpstr>FB_NT_Type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김성용</dc:creator>
  <cp:lastModifiedBy>김성용</cp:lastModifiedBy>
  <dcterms:created xsi:type="dcterms:W3CDTF">2024-12-02T02:33:52Z</dcterms:created>
  <dcterms:modified xsi:type="dcterms:W3CDTF">2026-05-18T06:15:33Z</dcterms:modified>
</cp:coreProperties>
</file>