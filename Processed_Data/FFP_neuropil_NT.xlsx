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nectome\사용 그림\V9\Figure2\"/>
    </mc:Choice>
  </mc:AlternateContent>
  <xr:revisionPtr revIDLastSave="0" documentId="13_ncr:1_{D9BABE43-C753-4F7E-B716-84B291716ADC}" xr6:coauthVersionLast="47" xr6:coauthVersionMax="47" xr10:uidLastSave="{00000000-0000-0000-0000-000000000000}"/>
  <bookViews>
    <workbookView xWindow="-120" yWindow="-120" windowWidth="29040" windowHeight="15720" activeTab="2" xr2:uid="{4C3A26E4-5BAF-4190-9860-111457B0A583}"/>
  </bookViews>
  <sheets>
    <sheet name="Sheet1" sheetId="1" r:id="rId1"/>
    <sheet name="N10" sheetId="3" r:id="rId2"/>
    <sheet name="Thr5" sheetId="6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6" l="1"/>
  <c r="M9" i="6"/>
  <c r="L9" i="6"/>
  <c r="K9" i="6"/>
  <c r="J9" i="6"/>
  <c r="I9" i="6"/>
  <c r="H9" i="6"/>
  <c r="G9" i="6"/>
  <c r="F9" i="6"/>
  <c r="E9" i="6"/>
  <c r="D9" i="6"/>
  <c r="C9" i="6"/>
  <c r="B9" i="6"/>
  <c r="O1" i="4"/>
  <c r="L12" i="4"/>
  <c r="I3" i="4"/>
  <c r="G1" i="4" s="1"/>
  <c r="E13" i="4"/>
  <c r="F1" i="4" s="1"/>
  <c r="E12" i="4"/>
  <c r="E11" i="4"/>
  <c r="E10" i="4"/>
  <c r="E9" i="4"/>
  <c r="E8" i="4"/>
  <c r="E7" i="4"/>
  <c r="E6" i="4"/>
  <c r="E5" i="4"/>
  <c r="E4" i="4"/>
  <c r="E3" i="4"/>
  <c r="E2" i="4"/>
  <c r="E1" i="4"/>
  <c r="N9" i="3"/>
  <c r="M9" i="3"/>
  <c r="L9" i="3"/>
  <c r="K9" i="3"/>
  <c r="J9" i="3"/>
  <c r="I9" i="3"/>
  <c r="H9" i="3"/>
  <c r="G9" i="3"/>
  <c r="F9" i="3"/>
  <c r="E9" i="3"/>
  <c r="D9" i="3"/>
  <c r="C9" i="3"/>
  <c r="B9" i="3"/>
  <c r="M3" i="1"/>
  <c r="M4" i="1"/>
  <c r="M5" i="1"/>
  <c r="M6" i="1"/>
  <c r="M7" i="1"/>
  <c r="M8" i="1"/>
  <c r="M2" i="1"/>
  <c r="C9" i="1"/>
  <c r="D9" i="1"/>
  <c r="E9" i="1"/>
  <c r="F9" i="1"/>
  <c r="G9" i="1"/>
  <c r="H9" i="1"/>
  <c r="I9" i="1"/>
  <c r="J9" i="1"/>
  <c r="K9" i="1"/>
  <c r="L9" i="1"/>
  <c r="B9" i="1"/>
  <c r="M9" i="1" l="1"/>
</calcChain>
</file>

<file path=xl/sharedStrings.xml><?xml version="1.0" encoding="utf-8"?>
<sst xmlns="http://schemas.openxmlformats.org/spreadsheetml/2006/main" count="400" uniqueCount="353">
  <si>
    <t>Me</t>
    <phoneticPr fontId="1" type="noConversion"/>
  </si>
  <si>
    <t>Lo</t>
    <phoneticPr fontId="1" type="noConversion"/>
  </si>
  <si>
    <t>LoP</t>
    <phoneticPr fontId="1" type="noConversion"/>
  </si>
  <si>
    <t>PLP</t>
    <phoneticPr fontId="1" type="noConversion"/>
  </si>
  <si>
    <t>PVLP</t>
    <phoneticPr fontId="1" type="noConversion"/>
  </si>
  <si>
    <t>SPS</t>
    <phoneticPr fontId="1" type="noConversion"/>
  </si>
  <si>
    <t>AVLP</t>
    <phoneticPr fontId="1" type="noConversion"/>
  </si>
  <si>
    <t>AOTU</t>
    <phoneticPr fontId="1" type="noConversion"/>
  </si>
  <si>
    <t>IPS</t>
    <phoneticPr fontId="1" type="noConversion"/>
  </si>
  <si>
    <t>ICL</t>
    <phoneticPr fontId="1" type="noConversion"/>
  </si>
  <si>
    <t>SCL</t>
    <phoneticPr fontId="1" type="noConversion"/>
  </si>
  <si>
    <t>ACH</t>
    <phoneticPr fontId="1" type="noConversion"/>
  </si>
  <si>
    <t>DA</t>
    <phoneticPr fontId="1" type="noConversion"/>
  </si>
  <si>
    <t>GABA</t>
    <phoneticPr fontId="1" type="noConversion"/>
  </si>
  <si>
    <t>GLUT</t>
    <phoneticPr fontId="1" type="noConversion"/>
  </si>
  <si>
    <t>OCT</t>
    <phoneticPr fontId="1" type="noConversion"/>
  </si>
  <si>
    <t>SER</t>
    <phoneticPr fontId="1" type="noConversion"/>
  </si>
  <si>
    <t>Undetermined</t>
    <phoneticPr fontId="1" type="noConversion"/>
  </si>
  <si>
    <t>SLP</t>
    <phoneticPr fontId="1" type="noConversion"/>
  </si>
  <si>
    <t>LH</t>
    <phoneticPr fontId="1" type="noConversion"/>
  </si>
  <si>
    <t>'5th-LNv'</t>
  </si>
  <si>
    <t>'APDN3'</t>
  </si>
  <si>
    <t>'AVLP534'</t>
  </si>
  <si>
    <t>'CB3089'</t>
  </si>
  <si>
    <t>'CB3790'</t>
  </si>
  <si>
    <t>'DN1-l'</t>
  </si>
  <si>
    <t>'H2'</t>
  </si>
  <si>
    <t>'HSE'</t>
  </si>
  <si>
    <t>'HSN'</t>
  </si>
  <si>
    <t>'HSS'</t>
  </si>
  <si>
    <t>'LC10a'</t>
  </si>
  <si>
    <t>'LC10c'</t>
  </si>
  <si>
    <t>'LC10d'</t>
  </si>
  <si>
    <t>'LC10e'</t>
  </si>
  <si>
    <t>'LC10f'</t>
  </si>
  <si>
    <t>'LC11'</t>
  </si>
  <si>
    <t>'LC12'</t>
  </si>
  <si>
    <t>'LC13'</t>
  </si>
  <si>
    <t>'LC15'</t>
  </si>
  <si>
    <t>'LC16'</t>
  </si>
  <si>
    <t>'LC17'</t>
  </si>
  <si>
    <t>'LC18'</t>
  </si>
  <si>
    <t>'LC19'</t>
  </si>
  <si>
    <t>'LC20a'</t>
  </si>
  <si>
    <t>'LC21'</t>
  </si>
  <si>
    <t>'LC22'</t>
  </si>
  <si>
    <t>'LC24'</t>
  </si>
  <si>
    <t>'LC25'</t>
  </si>
  <si>
    <t>'LC26'</t>
  </si>
  <si>
    <t>'LC27'</t>
  </si>
  <si>
    <t>'LC28a'</t>
  </si>
  <si>
    <t>'LC29'</t>
  </si>
  <si>
    <t>'LC31a'</t>
  </si>
  <si>
    <t>'LC31b'</t>
  </si>
  <si>
    <t>'LC31c'</t>
  </si>
  <si>
    <t>'LC33a'</t>
  </si>
  <si>
    <t>'LC34'</t>
  </si>
  <si>
    <t>'LC35'</t>
  </si>
  <si>
    <t>'LC36'</t>
  </si>
  <si>
    <t>'LC37a'</t>
  </si>
  <si>
    <t>'LC39'</t>
  </si>
  <si>
    <t>'LC4'</t>
  </si>
  <si>
    <t>'LC40'</t>
  </si>
  <si>
    <t>'LC41'</t>
  </si>
  <si>
    <t>'LC43'</t>
  </si>
  <si>
    <t>'LC44'</t>
  </si>
  <si>
    <t>'LC45'</t>
  </si>
  <si>
    <t>'LC46'</t>
  </si>
  <si>
    <t>'LC6'</t>
  </si>
  <si>
    <t>'LCe01'</t>
  </si>
  <si>
    <t>'LCe01a'</t>
  </si>
  <si>
    <t>'LCe01b'</t>
  </si>
  <si>
    <t>'LCe02'</t>
  </si>
  <si>
    <t>'LCe03'</t>
  </si>
  <si>
    <t>'LCe04'</t>
  </si>
  <si>
    <t>'LCe05'</t>
  </si>
  <si>
    <t>'LCe06'</t>
  </si>
  <si>
    <t>'LCe07'</t>
  </si>
  <si>
    <t>'LCe08'</t>
  </si>
  <si>
    <t>'LCe09'</t>
  </si>
  <si>
    <t>'LLPC1'</t>
  </si>
  <si>
    <t>'LLPC2'</t>
  </si>
  <si>
    <t>'LLPC3'</t>
  </si>
  <si>
    <t>'LLPC4'</t>
  </si>
  <si>
    <t>'LNd_CRY+_ITP+'</t>
  </si>
  <si>
    <t>'LPC1'</t>
  </si>
  <si>
    <t>'LPLC1'</t>
  </si>
  <si>
    <t>'LPLC2'</t>
  </si>
  <si>
    <t>'LPLC4'</t>
  </si>
  <si>
    <t>'LPT04_HST'</t>
  </si>
  <si>
    <t>'LPT21'</t>
  </si>
  <si>
    <t>'LPT22'</t>
  </si>
  <si>
    <t>'LPT26'</t>
  </si>
  <si>
    <t>'LPT27'</t>
  </si>
  <si>
    <t>'LPT28'</t>
  </si>
  <si>
    <t>'LPT29'</t>
  </si>
  <si>
    <t>'LPT30'</t>
  </si>
  <si>
    <t>'LPT31'</t>
  </si>
  <si>
    <t>'LPT42_Nod4'</t>
  </si>
  <si>
    <t>'LPT45_dCal1'</t>
  </si>
  <si>
    <t>'LPT47_vCal2'</t>
  </si>
  <si>
    <t>'LPT48_vCal3'</t>
  </si>
  <si>
    <t>'LPT49'</t>
  </si>
  <si>
    <t>'LPT50'</t>
  </si>
  <si>
    <t>'LPT51'</t>
  </si>
  <si>
    <t>'LPT52'</t>
  </si>
  <si>
    <t>'LPT54'</t>
  </si>
  <si>
    <t>'LPTe01'</t>
  </si>
  <si>
    <t>'LPTe02'</t>
  </si>
  <si>
    <t>'LT11'</t>
  </si>
  <si>
    <t>'LT1a'</t>
  </si>
  <si>
    <t>'LT1b'</t>
  </si>
  <si>
    <t>'LT1c'</t>
  </si>
  <si>
    <t>'LT1d'</t>
  </si>
  <si>
    <t>'LT47'</t>
  </si>
  <si>
    <t>'LT51'</t>
  </si>
  <si>
    <t>'LT53'</t>
  </si>
  <si>
    <t>'LT55'</t>
  </si>
  <si>
    <t>'LT57'</t>
  </si>
  <si>
    <t>'LT59'</t>
  </si>
  <si>
    <t>'LT60'</t>
  </si>
  <si>
    <t>'LT61a'</t>
  </si>
  <si>
    <t>'LT61b'</t>
  </si>
  <si>
    <t>'LT62'</t>
  </si>
  <si>
    <t>'LT64'</t>
  </si>
  <si>
    <t>'LT66'</t>
  </si>
  <si>
    <t>'LT67'</t>
  </si>
  <si>
    <t>'LT68'</t>
  </si>
  <si>
    <t>'LT69'</t>
  </si>
  <si>
    <t>'LT72'</t>
  </si>
  <si>
    <t>'LT73'</t>
  </si>
  <si>
    <t>'LT74'</t>
  </si>
  <si>
    <t>'LT75'</t>
  </si>
  <si>
    <t>'LT76'</t>
  </si>
  <si>
    <t>'LT77'</t>
  </si>
  <si>
    <t>'LT78'</t>
  </si>
  <si>
    <t>'LT79'</t>
  </si>
  <si>
    <t>'LT80'</t>
  </si>
  <si>
    <t>'LT81'</t>
  </si>
  <si>
    <t>'LT82a'</t>
  </si>
  <si>
    <t>'LT83'</t>
  </si>
  <si>
    <t>'LT84'</t>
  </si>
  <si>
    <t>'LT85'</t>
  </si>
  <si>
    <t>'LT86'</t>
  </si>
  <si>
    <t>'LT87'</t>
  </si>
  <si>
    <t>'LTe01'</t>
  </si>
  <si>
    <t>'LTe02'</t>
  </si>
  <si>
    <t>'LTe03'</t>
  </si>
  <si>
    <t>'LTe04'</t>
  </si>
  <si>
    <t>'LTe05'</t>
  </si>
  <si>
    <t>'LTe06'</t>
  </si>
  <si>
    <t>'LTe07'</t>
  </si>
  <si>
    <t>'LTe08'</t>
  </si>
  <si>
    <t>'LTe09'</t>
  </si>
  <si>
    <t>'LTe10'</t>
  </si>
  <si>
    <t>'LTe11'</t>
  </si>
  <si>
    <t>'LTe12'</t>
  </si>
  <si>
    <t>'LTe13'</t>
  </si>
  <si>
    <t>'LTe14'</t>
  </si>
  <si>
    <t>'LTe15'</t>
  </si>
  <si>
    <t>'LTe16'</t>
  </si>
  <si>
    <t>'LTe17'</t>
  </si>
  <si>
    <t>'LTe18'</t>
  </si>
  <si>
    <t>'LTe19'</t>
  </si>
  <si>
    <t>'LTe20'</t>
  </si>
  <si>
    <t>'LTe21'</t>
  </si>
  <si>
    <t>'LTe22'</t>
  </si>
  <si>
    <t>'LTe23'</t>
  </si>
  <si>
    <t>'LTe24'</t>
  </si>
  <si>
    <t>'LTe25'</t>
  </si>
  <si>
    <t>'LTe26'</t>
  </si>
  <si>
    <t>'LTe27'</t>
  </si>
  <si>
    <t>'LTe28'</t>
  </si>
  <si>
    <t>'LTe29'</t>
  </si>
  <si>
    <t>'LTe30'</t>
  </si>
  <si>
    <t>'LTe31'</t>
  </si>
  <si>
    <t>'LTe32'</t>
  </si>
  <si>
    <t>'LTe33'</t>
  </si>
  <si>
    <t>'LTe35'</t>
  </si>
  <si>
    <t>'LTe36'</t>
  </si>
  <si>
    <t>'LTe37'</t>
  </si>
  <si>
    <t>'LTe38a'</t>
  </si>
  <si>
    <t>'LTe38b'</t>
  </si>
  <si>
    <t>'LTe38c'</t>
  </si>
  <si>
    <t>'LTe40'</t>
  </si>
  <si>
    <t>'LTe41'</t>
  </si>
  <si>
    <t>'LTe42a'</t>
  </si>
  <si>
    <t>'LTe42b'</t>
  </si>
  <si>
    <t>'LTe42c'</t>
  </si>
  <si>
    <t>'LTe43'</t>
  </si>
  <si>
    <t>'LTe44'</t>
  </si>
  <si>
    <t>'LTe45'</t>
  </si>
  <si>
    <t>'LTe46'</t>
  </si>
  <si>
    <t>'LTe47'</t>
  </si>
  <si>
    <t>'LTe48'</t>
  </si>
  <si>
    <t>'LTe49a'</t>
  </si>
  <si>
    <t>'LTe49b'</t>
  </si>
  <si>
    <t>'LTe49c'</t>
  </si>
  <si>
    <t>'LTe49d'</t>
  </si>
  <si>
    <t>'LTe49e'</t>
  </si>
  <si>
    <t>'LTe49f'</t>
  </si>
  <si>
    <t>'LTe51'</t>
  </si>
  <si>
    <t>'LTe52a'</t>
  </si>
  <si>
    <t>'LTe52b'</t>
  </si>
  <si>
    <t>'LTe53'</t>
  </si>
  <si>
    <t>'LTe54'</t>
  </si>
  <si>
    <t>'LTe55'</t>
  </si>
  <si>
    <t>'LTe56'</t>
  </si>
  <si>
    <t>'LTe57'</t>
  </si>
  <si>
    <t>'LTe58'</t>
  </si>
  <si>
    <t>'LTe59'</t>
  </si>
  <si>
    <t>'LTe60'</t>
  </si>
  <si>
    <t>'LTe61'</t>
  </si>
  <si>
    <t>'LTe62'</t>
  </si>
  <si>
    <t>'LTe63'</t>
  </si>
  <si>
    <t>'LTe64'</t>
  </si>
  <si>
    <t>'LTe65'</t>
  </si>
  <si>
    <t>'LTe66'</t>
  </si>
  <si>
    <t>'LTe67'</t>
  </si>
  <si>
    <t>'LTe68'</t>
  </si>
  <si>
    <t>'LTe69'</t>
  </si>
  <si>
    <t>'LTe70'</t>
  </si>
  <si>
    <t>'LTe72'</t>
  </si>
  <si>
    <t>'LTe73'</t>
  </si>
  <si>
    <t>'LTe74'</t>
  </si>
  <si>
    <t>'LTe75'</t>
  </si>
  <si>
    <t>'LTe76'</t>
  </si>
  <si>
    <t>'MTe01a'</t>
  </si>
  <si>
    <t>'MTe01b'</t>
  </si>
  <si>
    <t>'MTe02'</t>
  </si>
  <si>
    <t>'MTe03'</t>
  </si>
  <si>
    <t>'MTe04'</t>
  </si>
  <si>
    <t>'MTe05'</t>
  </si>
  <si>
    <t>'MTe06'</t>
  </si>
  <si>
    <t>'MTe07'</t>
  </si>
  <si>
    <t>'MTe08'</t>
  </si>
  <si>
    <t>'MTe09'</t>
  </si>
  <si>
    <t>'MTe10'</t>
  </si>
  <si>
    <t>'MTe11'</t>
  </si>
  <si>
    <t>'MTe12'</t>
  </si>
  <si>
    <t>'MTe13'</t>
  </si>
  <si>
    <t>'MTe14'</t>
  </si>
  <si>
    <t>'MTe15'</t>
  </si>
  <si>
    <t>'MTe16'</t>
  </si>
  <si>
    <t>'MTe17'</t>
  </si>
  <si>
    <t>'MTe18'</t>
  </si>
  <si>
    <t>'MTe19'</t>
  </si>
  <si>
    <t>'MTe20'</t>
  </si>
  <si>
    <t>'MTe21'</t>
  </si>
  <si>
    <t>'MTe22'</t>
  </si>
  <si>
    <t>'MTe23'</t>
  </si>
  <si>
    <t>'MTe24'</t>
  </si>
  <si>
    <t>'MTe25'</t>
  </si>
  <si>
    <t>'MTe26'</t>
  </si>
  <si>
    <t>'MTe27'</t>
  </si>
  <si>
    <t>'MTe28'</t>
  </si>
  <si>
    <t>'MTe29'</t>
  </si>
  <si>
    <t>'MTe30'</t>
  </si>
  <si>
    <t>'MTe31'</t>
  </si>
  <si>
    <t>'MTe32'</t>
  </si>
  <si>
    <t>'MTe33'</t>
  </si>
  <si>
    <t>'MTe34'</t>
  </si>
  <si>
    <t>'MTe35'</t>
  </si>
  <si>
    <t>'MTe36'</t>
  </si>
  <si>
    <t>'MTe37'</t>
  </si>
  <si>
    <t>'MTe38'</t>
  </si>
  <si>
    <t>'MTe39'</t>
  </si>
  <si>
    <t>'MTe40'</t>
  </si>
  <si>
    <t>'MTe41'</t>
  </si>
  <si>
    <t>'MTe42'</t>
  </si>
  <si>
    <t>'MTe43'</t>
  </si>
  <si>
    <t>'MTe44'</t>
  </si>
  <si>
    <t>'MTe45'</t>
  </si>
  <si>
    <t>'MTe46'</t>
  </si>
  <si>
    <t>'MTe47'</t>
  </si>
  <si>
    <t>'MTe48'</t>
  </si>
  <si>
    <t>'MTe49'</t>
  </si>
  <si>
    <t>'MTe50'</t>
  </si>
  <si>
    <t>'MTe51'</t>
  </si>
  <si>
    <t>'MTe53'</t>
  </si>
  <si>
    <t>'MTe54'</t>
  </si>
  <si>
    <t>'MeLp1'</t>
  </si>
  <si>
    <t>'MeMe_e02'</t>
  </si>
  <si>
    <t>'MeMe_e03'</t>
  </si>
  <si>
    <t>'MeMe_e04'</t>
  </si>
  <si>
    <t>'MeMe_e05'</t>
  </si>
  <si>
    <t>'MeMe_e06'</t>
  </si>
  <si>
    <t>'MeMe_e07'</t>
  </si>
  <si>
    <t>'MeMe_e08'</t>
  </si>
  <si>
    <t>'MeTu2a'</t>
  </si>
  <si>
    <t>'MeTu2b'</t>
  </si>
  <si>
    <t>'MeTu3a'</t>
  </si>
  <si>
    <t>'MeTu3b'</t>
  </si>
  <si>
    <t>'MeTu3c'</t>
  </si>
  <si>
    <t>'MeTu4a'</t>
  </si>
  <si>
    <t>'MeTu4b'</t>
  </si>
  <si>
    <t>'MeTu4c'</t>
  </si>
  <si>
    <t>'MeTu4d'</t>
  </si>
  <si>
    <t>'Nod1'</t>
  </si>
  <si>
    <t>'Nod2'</t>
  </si>
  <si>
    <t>'Nod3'</t>
  </si>
  <si>
    <t>'Nod5'</t>
  </si>
  <si>
    <t>'PLP051'</t>
  </si>
  <si>
    <t>'PLP068'</t>
  </si>
  <si>
    <t>'PLP251'</t>
  </si>
  <si>
    <t>'VS1'</t>
  </si>
  <si>
    <t>'VS2'</t>
  </si>
  <si>
    <t>'VS3'</t>
  </si>
  <si>
    <t>'VS4'</t>
  </si>
  <si>
    <t>'VS5'</t>
  </si>
  <si>
    <t>'VS6'</t>
  </si>
  <si>
    <t>'VS7'</t>
  </si>
  <si>
    <t>'VS8'</t>
  </si>
  <si>
    <t>'VST1'</t>
  </si>
  <si>
    <t>'VST2'</t>
  </si>
  <si>
    <t>'VSm'</t>
  </si>
  <si>
    <t>'aMe12'</t>
  </si>
  <si>
    <t>'aMe19a'</t>
  </si>
  <si>
    <t>'aMe20'</t>
  </si>
  <si>
    <t>'aMe25'</t>
  </si>
  <si>
    <t>'aMe26'</t>
  </si>
  <si>
    <t>'aMe3'</t>
  </si>
  <si>
    <t>'aMe5'</t>
  </si>
  <si>
    <t>'aMe6a'</t>
  </si>
  <si>
    <t>'aMe9'</t>
  </si>
  <si>
    <t>'l-CPDN3'</t>
  </si>
  <si>
    <t>'s-LNv'</t>
  </si>
  <si>
    <t>'vCal1'</t>
  </si>
  <si>
    <t>Total</t>
    <phoneticPr fontId="1" type="noConversion"/>
  </si>
  <si>
    <t>LC</t>
  </si>
  <si>
    <t>LC</t>
    <phoneticPr fontId="1" type="noConversion"/>
  </si>
  <si>
    <t>LCe</t>
    <phoneticPr fontId="1" type="noConversion"/>
  </si>
  <si>
    <t>LLPC</t>
  </si>
  <si>
    <t>LLPC</t>
    <phoneticPr fontId="1" type="noConversion"/>
  </si>
  <si>
    <t>LPC</t>
  </si>
  <si>
    <t>LPC</t>
    <phoneticPr fontId="1" type="noConversion"/>
  </si>
  <si>
    <t>LPLC</t>
  </si>
  <si>
    <t>LPLC</t>
    <phoneticPr fontId="1" type="noConversion"/>
  </si>
  <si>
    <t>LPT</t>
  </si>
  <si>
    <t>LPT</t>
    <phoneticPr fontId="1" type="noConversion"/>
  </si>
  <si>
    <t>LT</t>
  </si>
  <si>
    <t>LT</t>
    <phoneticPr fontId="1" type="noConversion"/>
  </si>
  <si>
    <t>MTe</t>
  </si>
  <si>
    <t>MTe</t>
    <phoneticPr fontId="1" type="noConversion"/>
  </si>
  <si>
    <t>MeMe</t>
  </si>
  <si>
    <t>MeMe</t>
    <phoneticPr fontId="1" type="noConversion"/>
  </si>
  <si>
    <t>MeTu</t>
  </si>
  <si>
    <t>MeTu</t>
    <phoneticPr fontId="1" type="noConversion"/>
  </si>
  <si>
    <t>aMe</t>
  </si>
  <si>
    <t>aMe</t>
    <phoneticPr fontId="1" type="noConversion"/>
  </si>
  <si>
    <t>Others</t>
  </si>
  <si>
    <t>Others</t>
    <phoneticPr fontId="1" type="noConversion"/>
  </si>
  <si>
    <t>IB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</si>
</sst>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4AC29"/>
      <color rgb="FF772D86"/>
      <color rgb="FF74A532"/>
      <color rgb="FF0A6CB1"/>
      <color rgb="FF9A1E2F"/>
      <color rgb="FFCF572D"/>
      <color rgb="FF9E9E9E"/>
      <color rgb="FFCF521C"/>
      <color rgb="FFABADB0"/>
      <color rgb="FFE1A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Me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DC-45C2-B173-F6AF55D4D6C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DC-45C2-B173-F6AF55D4D6C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DC-45C2-B173-F6AF55D4D6C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DC-45C2-B173-F6AF55D4D6C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DC-45C2-B173-F6AF55D4D6C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DC-45C2-B173-F6AF55D4D6C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DC-45C2-B173-F6AF55D4D6C2}"/>
              </c:ext>
            </c:extLst>
          </c:dPt>
          <c:cat>
            <c:strRef>
              <c:f>Sheet1!$A$2:$A$8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Undetermined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509</c:v>
                </c:pt>
                <c:pt idx="1">
                  <c:v>1</c:v>
                </c:pt>
                <c:pt idx="2">
                  <c:v>5</c:v>
                </c:pt>
                <c:pt idx="3">
                  <c:v>72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C-45C2-B173-F6AF55D4D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1-41F6-932E-C928670A479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B1-41F6-932E-C928670A479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1-41F6-932E-C928670A479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B1-41F6-932E-C928670A479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1-41F6-932E-C928670A479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B1-41F6-932E-C928670A479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B1-41F6-932E-C928670A4799}"/>
              </c:ext>
            </c:extLst>
          </c:dPt>
          <c:val>
            <c:numRef>
              <c:f>Sheet1!$C$2:$C$8</c:f>
              <c:numCache>
                <c:formatCode>General</c:formatCode>
                <c:ptCount val="7"/>
                <c:pt idx="0">
                  <c:v>2272</c:v>
                </c:pt>
                <c:pt idx="1">
                  <c:v>0</c:v>
                </c:pt>
                <c:pt idx="2">
                  <c:v>5</c:v>
                </c:pt>
                <c:pt idx="3">
                  <c:v>145</c:v>
                </c:pt>
                <c:pt idx="4">
                  <c:v>2</c:v>
                </c:pt>
                <c:pt idx="5">
                  <c:v>0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1-41F6-932E-C928670A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DA-4C54-99A8-E70DA9322ABB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5DA-4C54-99A8-E70DA9322ABB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DA-4C54-99A8-E70DA9322ABB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5DA-4C54-99A8-E70DA9322ABB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DA-4C54-99A8-E70DA9322ABB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5DA-4C54-99A8-E70DA9322ABB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DA-4C54-99A8-E70DA9322ABB}"/>
              </c:ext>
            </c:extLst>
          </c:dPt>
          <c:val>
            <c:numRef>
              <c:f>Sheet1!$D$2:$D$8</c:f>
              <c:numCache>
                <c:formatCode>General</c:formatCode>
                <c:ptCount val="7"/>
                <c:pt idx="0">
                  <c:v>706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A-4C54-99A8-E70DA9322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A-4860-87BF-049C285F43D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BA-4860-87BF-049C285F43D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A-4860-87BF-049C285F43D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BA-4860-87BF-049C285F43D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BA-4860-87BF-049C285F43D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BA-4860-87BF-049C285F43D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BA-4860-87BF-049C285F43D1}"/>
              </c:ext>
            </c:extLst>
          </c:dPt>
          <c:val>
            <c:numRef>
              <c:f>Sheet1!$E$2:$E$8</c:f>
              <c:numCache>
                <c:formatCode>General</c:formatCode>
                <c:ptCount val="7"/>
                <c:pt idx="0">
                  <c:v>1446</c:v>
                </c:pt>
                <c:pt idx="1">
                  <c:v>0</c:v>
                </c:pt>
                <c:pt idx="2">
                  <c:v>6</c:v>
                </c:pt>
                <c:pt idx="3">
                  <c:v>122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A-4860-87BF-049C285F4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58-4CB9-8620-498941A9F16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58-4CB9-8620-498941A9F16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58-4CB9-8620-498941A9F16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58-4CB9-8620-498941A9F16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8-4CB9-8620-498941A9F16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558-4CB9-8620-498941A9F16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58-4CB9-8620-498941A9F166}"/>
              </c:ext>
            </c:extLst>
          </c:dPt>
          <c:val>
            <c:numRef>
              <c:f>Sheet1!$F$2:$F$8</c:f>
              <c:numCache>
                <c:formatCode>General</c:formatCode>
                <c:ptCount val="7"/>
                <c:pt idx="0">
                  <c:v>1083</c:v>
                </c:pt>
                <c:pt idx="1">
                  <c:v>0</c:v>
                </c:pt>
                <c:pt idx="2">
                  <c:v>2</c:v>
                </c:pt>
                <c:pt idx="3">
                  <c:v>52</c:v>
                </c:pt>
                <c:pt idx="4">
                  <c:v>2</c:v>
                </c:pt>
                <c:pt idx="5">
                  <c:v>0</c:v>
                </c:pt>
                <c:pt idx="6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CB9-8620-498941A9F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99-4DE9-9DE8-E5E07B2B64D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99-4DE9-9DE8-E5E07B2B64D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99-4DE9-9DE8-E5E07B2B64D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99-4DE9-9DE8-E5E07B2B64D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99-4DE9-9DE8-E5E07B2B64D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E99-4DE9-9DE8-E5E07B2B64D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99-4DE9-9DE8-E5E07B2B64D5}"/>
              </c:ext>
            </c:extLst>
          </c:dPt>
          <c:val>
            <c:numRef>
              <c:f>Sheet1!$G$2:$G$8</c:f>
              <c:numCache>
                <c:formatCode>General</c:formatCode>
                <c:ptCount val="7"/>
                <c:pt idx="0">
                  <c:v>678</c:v>
                </c:pt>
                <c:pt idx="1">
                  <c:v>0</c:v>
                </c:pt>
                <c:pt idx="2">
                  <c:v>6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9-4DE9-9DE8-E5E07B2B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0E-4E0C-AD47-E8578C18648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0E-4E0C-AD47-E8578C18648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0E-4E0C-AD47-E8578C18648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0E-4E0C-AD47-E8578C18648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0E-4E0C-AD47-E8578C18648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00E-4E0C-AD47-E8578C18648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0E-4E0C-AD47-E8578C186486}"/>
              </c:ext>
            </c:extLst>
          </c:dPt>
          <c:val>
            <c:numRef>
              <c:f>Sheet1!$H$2:$H$8</c:f>
              <c:numCache>
                <c:formatCode>General</c:formatCode>
                <c:ptCount val="7"/>
                <c:pt idx="0">
                  <c:v>783</c:v>
                </c:pt>
                <c:pt idx="1">
                  <c:v>0</c:v>
                </c:pt>
                <c:pt idx="2">
                  <c:v>1</c:v>
                </c:pt>
                <c:pt idx="3">
                  <c:v>40</c:v>
                </c:pt>
                <c:pt idx="4">
                  <c:v>1</c:v>
                </c:pt>
                <c:pt idx="5">
                  <c:v>0</c:v>
                </c:pt>
                <c:pt idx="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E-4E0C-AD47-E8578C186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AOTU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2-41F1-95B6-1071A71C0C5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62-41F1-95B6-1071A71C0C5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2-41F1-95B6-1071A71C0C5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62-41F1-95B6-1071A71C0C5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62-41F1-95B6-1071A71C0C5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2-41F1-95B6-1071A71C0C5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2-41F1-95B6-1071A71C0C56}"/>
              </c:ext>
            </c:extLst>
          </c:dPt>
          <c:val>
            <c:numRef>
              <c:f>Sheet1!$I$2:$I$8</c:f>
              <c:numCache>
                <c:formatCode>General</c:formatCode>
                <c:ptCount val="7"/>
                <c:pt idx="0">
                  <c:v>620</c:v>
                </c:pt>
                <c:pt idx="1">
                  <c:v>1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2-41F1-95B6-1071A71C0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0-4D4F-AC5F-A0330F7CB4C3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5B0-4D4F-AC5F-A0330F7CB4C3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0-4D4F-AC5F-A0330F7CB4C3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5B0-4D4F-AC5F-A0330F7CB4C3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B0-4D4F-AC5F-A0330F7CB4C3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5B0-4D4F-AC5F-A0330F7CB4C3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B0-4D4F-AC5F-A0330F7CB4C3}"/>
              </c:ext>
            </c:extLst>
          </c:dPt>
          <c:val>
            <c:numRef>
              <c:f>Sheet1!$J$2:$J$8</c:f>
              <c:numCache>
                <c:formatCode>General</c:formatCode>
                <c:ptCount val="7"/>
                <c:pt idx="0">
                  <c:v>193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0-4D4F-AC5F-A0330F7CB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88-4A6D-8F21-66653499A427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88-4A6D-8F21-66653499A427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8-4A6D-8F21-66653499A427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088-4A6D-8F21-66653499A427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88-4A6D-8F21-66653499A427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088-4A6D-8F21-66653499A427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88-4A6D-8F21-66653499A427}"/>
              </c:ext>
            </c:extLst>
          </c:dPt>
          <c:val>
            <c:numRef>
              <c:f>Sheet1!$K$2:$K$8</c:f>
              <c:numCache>
                <c:formatCode>General</c:formatCode>
                <c:ptCount val="7"/>
                <c:pt idx="0">
                  <c:v>151</c:v>
                </c:pt>
                <c:pt idx="1">
                  <c:v>0</c:v>
                </c:pt>
                <c:pt idx="2">
                  <c:v>1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8-4A6D-8F21-66653499A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9-4F78-9218-40D4E2A58E3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F9-4F78-9218-40D4E2A58E3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F9-4F78-9218-40D4E2A58E3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AF9-4F78-9218-40D4E2A58E3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F9-4F78-9218-40D4E2A58E3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AF9-4F78-9218-40D4E2A58E3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F9-4F78-9218-40D4E2A58E32}"/>
              </c:ext>
            </c:extLst>
          </c:dPt>
          <c:val>
            <c:numRef>
              <c:f>Sheet1!$L$2:$L$8</c:f>
              <c:numCache>
                <c:formatCode>General</c:formatCode>
                <c:ptCount val="7"/>
                <c:pt idx="0">
                  <c:v>133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9-4F78-9218-40D4E2A5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21C"/>
              </a:solidFill>
            </c:spPr>
            <c:extLst>
              <c:ext xmlns:c16="http://schemas.microsoft.com/office/drawing/2014/chart" uri="{C3380CC4-5D6E-409C-BE32-E72D297353CC}">
                <c16:uniqueId val="{00000079-5E5A-4EFA-8865-5EDE293E62A2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7A-5E5A-4EFA-8865-5EDE293E62A2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7B-5E5A-4EFA-8865-5EDE293E62A2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7C-5E5A-4EFA-8865-5EDE293E62A2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7D-5E5A-4EFA-8865-5EDE293E62A2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7E-5E5A-4EFA-8865-5EDE293E62A2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7F-5E5A-4EFA-8865-5EDE293E62A2}"/>
              </c:ext>
            </c:extLst>
          </c:dPt>
          <c:val>
            <c:numRef>
              <c:f>'N10'!$B$2:$B$8</c:f>
              <c:numCache>
                <c:formatCode>General</c:formatCode>
                <c:ptCount val="7"/>
                <c:pt idx="0">
                  <c:v>792</c:v>
                </c:pt>
                <c:pt idx="1">
                  <c:v>1</c:v>
                </c:pt>
                <c:pt idx="2">
                  <c:v>5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5E5A-4EFA-8865-5EDE293E62A2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21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5E5A-4EFA-8865-5EDE293E62A2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5E5A-4EFA-8865-5EDE293E62A2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5E5A-4EFA-8865-5EDE293E62A2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5E5A-4EFA-8865-5EDE293E62A2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5E5A-4EFA-8865-5EDE293E62A2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5E5A-4EFA-8865-5EDE293E62A2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5E5A-4EFA-8865-5EDE293E62A2}"/>
              </c:ext>
            </c:extLst>
          </c:dPt>
          <c:val>
            <c:numRef>
              <c:f>'N10'!$B$2:$B$8</c:f>
              <c:numCache>
                <c:formatCode>General</c:formatCode>
                <c:ptCount val="7"/>
                <c:pt idx="0">
                  <c:v>792</c:v>
                </c:pt>
                <c:pt idx="1">
                  <c:v>1</c:v>
                </c:pt>
                <c:pt idx="2">
                  <c:v>5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5E5A-4EFA-8865-5EDE293E6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0FB2-4A7B-A82C-816F708289D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0FB2-4A7B-A82C-816F708289D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0FB2-4A7B-A82C-816F708289D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0FB2-4A7B-A82C-816F708289D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0FB2-4A7B-A82C-816F708289D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0FB2-4A7B-A82C-816F708289D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0FB2-4A7B-A82C-816F708289DC}"/>
              </c:ext>
            </c:extLst>
          </c:dPt>
          <c:val>
            <c:numRef>
              <c:f>'N10'!$C$2:$C$8</c:f>
              <c:numCache>
                <c:formatCode>General</c:formatCode>
                <c:ptCount val="7"/>
                <c:pt idx="0">
                  <c:v>2878</c:v>
                </c:pt>
                <c:pt idx="1">
                  <c:v>1</c:v>
                </c:pt>
                <c:pt idx="2">
                  <c:v>12</c:v>
                </c:pt>
                <c:pt idx="3">
                  <c:v>229</c:v>
                </c:pt>
                <c:pt idx="4">
                  <c:v>2</c:v>
                </c:pt>
                <c:pt idx="5">
                  <c:v>0</c:v>
                </c:pt>
                <c:pt idx="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FB2-4A7B-A82C-816F708289D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FB2-4A7B-A82C-816F708289D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FB2-4A7B-A82C-816F708289D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FB2-4A7B-A82C-816F708289D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FB2-4A7B-A82C-816F708289D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FB2-4A7B-A82C-816F708289D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FB2-4A7B-A82C-816F708289D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FB2-4A7B-A82C-816F708289DC}"/>
              </c:ext>
            </c:extLst>
          </c:dPt>
          <c:val>
            <c:numRef>
              <c:f>'N10'!$C$2:$C$8</c:f>
              <c:numCache>
                <c:formatCode>General</c:formatCode>
                <c:ptCount val="7"/>
                <c:pt idx="0">
                  <c:v>2878</c:v>
                </c:pt>
                <c:pt idx="1">
                  <c:v>1</c:v>
                </c:pt>
                <c:pt idx="2">
                  <c:v>12</c:v>
                </c:pt>
                <c:pt idx="3">
                  <c:v>229</c:v>
                </c:pt>
                <c:pt idx="4">
                  <c:v>2</c:v>
                </c:pt>
                <c:pt idx="5">
                  <c:v>0</c:v>
                </c:pt>
                <c:pt idx="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FB2-4A7B-A82C-816F7082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4999-47A8-A18E-8CA2BC40AAA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4999-47A8-A18E-8CA2BC40AAA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4999-47A8-A18E-8CA2BC40AAA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4999-47A8-A18E-8CA2BC40AAA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4999-47A8-A18E-8CA2BC40AAA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4999-47A8-A18E-8CA2BC40AAA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4999-47A8-A18E-8CA2BC40AAA0}"/>
              </c:ext>
            </c:extLst>
          </c:dPt>
          <c:val>
            <c:numRef>
              <c:f>'N10'!$D$2:$D$8</c:f>
              <c:numCache>
                <c:formatCode>General</c:formatCode>
                <c:ptCount val="7"/>
                <c:pt idx="0">
                  <c:v>874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999-47A8-A18E-8CA2BC40AAA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999-47A8-A18E-8CA2BC40AAA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999-47A8-A18E-8CA2BC40AAA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999-47A8-A18E-8CA2BC40AAA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999-47A8-A18E-8CA2BC40AAA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999-47A8-A18E-8CA2BC40AAA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999-47A8-A18E-8CA2BC40AAA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999-47A8-A18E-8CA2BC40AAA0}"/>
              </c:ext>
            </c:extLst>
          </c:dPt>
          <c:val>
            <c:numRef>
              <c:f>'N10'!$D$2:$D$8</c:f>
              <c:numCache>
                <c:formatCode>General</c:formatCode>
                <c:ptCount val="7"/>
                <c:pt idx="0">
                  <c:v>874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999-47A8-A18E-8CA2BC40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D8B4-4526-8FEC-750066EDC1C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D8B4-4526-8FEC-750066EDC1C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D8B4-4526-8FEC-750066EDC1C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D8B4-4526-8FEC-750066EDC1C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D8B4-4526-8FEC-750066EDC1C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D8B4-4526-8FEC-750066EDC1C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D8B4-4526-8FEC-750066EDC1C0}"/>
              </c:ext>
            </c:extLst>
          </c:dPt>
          <c:val>
            <c:numRef>
              <c:f>'N10'!$E$2:$E$8</c:f>
              <c:numCache>
                <c:formatCode>General</c:formatCode>
                <c:ptCount val="7"/>
                <c:pt idx="0">
                  <c:v>2195</c:v>
                </c:pt>
                <c:pt idx="1">
                  <c:v>0</c:v>
                </c:pt>
                <c:pt idx="2">
                  <c:v>14</c:v>
                </c:pt>
                <c:pt idx="3">
                  <c:v>210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B4-4526-8FEC-750066EDC1C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8B4-4526-8FEC-750066EDC1C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B4-4526-8FEC-750066EDC1C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B4-4526-8FEC-750066EDC1C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B4-4526-8FEC-750066EDC1C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8B4-4526-8FEC-750066EDC1C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8B4-4526-8FEC-750066EDC1C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8B4-4526-8FEC-750066EDC1C0}"/>
              </c:ext>
            </c:extLst>
          </c:dPt>
          <c:val>
            <c:numRef>
              <c:f>'N10'!$E$2:$E$8</c:f>
              <c:numCache>
                <c:formatCode>General</c:formatCode>
                <c:ptCount val="7"/>
                <c:pt idx="0">
                  <c:v>2195</c:v>
                </c:pt>
                <c:pt idx="1">
                  <c:v>0</c:v>
                </c:pt>
                <c:pt idx="2">
                  <c:v>14</c:v>
                </c:pt>
                <c:pt idx="3">
                  <c:v>210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8B4-4526-8FEC-750066EDC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280C-4DA4-8CFD-EAEB62AE0F59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280C-4DA4-8CFD-EAEB62AE0F59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280C-4DA4-8CFD-EAEB62AE0F59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280C-4DA4-8CFD-EAEB62AE0F59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280C-4DA4-8CFD-EAEB62AE0F59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280C-4DA4-8CFD-EAEB62AE0F59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280C-4DA4-8CFD-EAEB62AE0F59}"/>
              </c:ext>
            </c:extLst>
          </c:dPt>
          <c:val>
            <c:numRef>
              <c:f>'N10'!$F$2:$F$8</c:f>
              <c:numCache>
                <c:formatCode>General</c:formatCode>
                <c:ptCount val="7"/>
                <c:pt idx="0">
                  <c:v>1462</c:v>
                </c:pt>
                <c:pt idx="1">
                  <c:v>0</c:v>
                </c:pt>
                <c:pt idx="2">
                  <c:v>10</c:v>
                </c:pt>
                <c:pt idx="3">
                  <c:v>192</c:v>
                </c:pt>
                <c:pt idx="4">
                  <c:v>2</c:v>
                </c:pt>
                <c:pt idx="5">
                  <c:v>0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80C-4DA4-8CFD-EAEB62AE0F5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80C-4DA4-8CFD-EAEB62AE0F59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80C-4DA4-8CFD-EAEB62AE0F59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80C-4DA4-8CFD-EAEB62AE0F59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80C-4DA4-8CFD-EAEB62AE0F59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80C-4DA4-8CFD-EAEB62AE0F59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80C-4DA4-8CFD-EAEB62AE0F59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80C-4DA4-8CFD-EAEB62AE0F59}"/>
              </c:ext>
            </c:extLst>
          </c:dPt>
          <c:val>
            <c:numRef>
              <c:f>'N10'!$F$2:$F$8</c:f>
              <c:numCache>
                <c:formatCode>General</c:formatCode>
                <c:ptCount val="7"/>
                <c:pt idx="0">
                  <c:v>1462</c:v>
                </c:pt>
                <c:pt idx="1">
                  <c:v>0</c:v>
                </c:pt>
                <c:pt idx="2">
                  <c:v>10</c:v>
                </c:pt>
                <c:pt idx="3">
                  <c:v>192</c:v>
                </c:pt>
                <c:pt idx="4">
                  <c:v>2</c:v>
                </c:pt>
                <c:pt idx="5">
                  <c:v>0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80C-4DA4-8CFD-EAEB62AE0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BD13-4074-8D4F-AF1790A96557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BD13-4074-8D4F-AF1790A96557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BD13-4074-8D4F-AF1790A96557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BD13-4074-8D4F-AF1790A96557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BD13-4074-8D4F-AF1790A96557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BD13-4074-8D4F-AF1790A96557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BD13-4074-8D4F-AF1790A96557}"/>
              </c:ext>
            </c:extLst>
          </c:dPt>
          <c:val>
            <c:numRef>
              <c:f>'N10'!$G$2:$G$8</c:f>
              <c:numCache>
                <c:formatCode>General</c:formatCode>
                <c:ptCount val="7"/>
                <c:pt idx="0">
                  <c:v>1246</c:v>
                </c:pt>
                <c:pt idx="1">
                  <c:v>1</c:v>
                </c:pt>
                <c:pt idx="2">
                  <c:v>6</c:v>
                </c:pt>
                <c:pt idx="3">
                  <c:v>103</c:v>
                </c:pt>
                <c:pt idx="4">
                  <c:v>1</c:v>
                </c:pt>
                <c:pt idx="5">
                  <c:v>0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D13-4074-8D4F-AF1790A96557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D13-4074-8D4F-AF1790A96557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D13-4074-8D4F-AF1790A96557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D13-4074-8D4F-AF1790A96557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D13-4074-8D4F-AF1790A96557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D13-4074-8D4F-AF1790A96557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D13-4074-8D4F-AF1790A96557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D13-4074-8D4F-AF1790A96557}"/>
              </c:ext>
            </c:extLst>
          </c:dPt>
          <c:val>
            <c:numRef>
              <c:f>'N10'!$G$2:$G$8</c:f>
              <c:numCache>
                <c:formatCode>General</c:formatCode>
                <c:ptCount val="7"/>
                <c:pt idx="0">
                  <c:v>1246</c:v>
                </c:pt>
                <c:pt idx="1">
                  <c:v>1</c:v>
                </c:pt>
                <c:pt idx="2">
                  <c:v>6</c:v>
                </c:pt>
                <c:pt idx="3">
                  <c:v>103</c:v>
                </c:pt>
                <c:pt idx="4">
                  <c:v>1</c:v>
                </c:pt>
                <c:pt idx="5">
                  <c:v>0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D13-4074-8D4F-AF1790A96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C676-4592-A83E-CDC045C2AFD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C676-4592-A83E-CDC045C2AFD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C676-4592-A83E-CDC045C2AFD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C676-4592-A83E-CDC045C2AFD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C676-4592-A83E-CDC045C2AFD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C676-4592-A83E-CDC045C2AFD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C676-4592-A83E-CDC045C2AFDC}"/>
              </c:ext>
            </c:extLst>
          </c:dPt>
          <c:val>
            <c:numRef>
              <c:f>'N10'!$H$2:$H$8</c:f>
              <c:numCache>
                <c:formatCode>General</c:formatCode>
                <c:ptCount val="7"/>
                <c:pt idx="0">
                  <c:v>724</c:v>
                </c:pt>
                <c:pt idx="1">
                  <c:v>0</c:v>
                </c:pt>
                <c:pt idx="2">
                  <c:v>8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676-4592-A83E-CDC045C2AFD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676-4592-A83E-CDC045C2AFD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676-4592-A83E-CDC045C2AFD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676-4592-A83E-CDC045C2AFD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676-4592-A83E-CDC045C2AFD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676-4592-A83E-CDC045C2AFD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676-4592-A83E-CDC045C2AFD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676-4592-A83E-CDC045C2AFDC}"/>
              </c:ext>
            </c:extLst>
          </c:dPt>
          <c:val>
            <c:numRef>
              <c:f>'N10'!$H$2:$H$8</c:f>
              <c:numCache>
                <c:formatCode>General</c:formatCode>
                <c:ptCount val="7"/>
                <c:pt idx="0">
                  <c:v>724</c:v>
                </c:pt>
                <c:pt idx="1">
                  <c:v>0</c:v>
                </c:pt>
                <c:pt idx="2">
                  <c:v>8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676-4592-A83E-CDC045C2A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AOTU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8008-4950-AF4D-D41DAA2443E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8008-4950-AF4D-D41DAA2443E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8008-4950-AF4D-D41DAA2443E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8008-4950-AF4D-D41DAA2443E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8008-4950-AF4D-D41DAA2443E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8008-4950-AF4D-D41DAA2443E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8008-4950-AF4D-D41DAA2443EF}"/>
              </c:ext>
            </c:extLst>
          </c:dPt>
          <c:val>
            <c:numRef>
              <c:f>'N10'!$I$2:$I$8</c:f>
              <c:numCache>
                <c:formatCode>General</c:formatCode>
                <c:ptCount val="7"/>
                <c:pt idx="0">
                  <c:v>704</c:v>
                </c:pt>
                <c:pt idx="1">
                  <c:v>1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008-4950-AF4D-D41DAA2443EF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08-4950-AF4D-D41DAA2443E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008-4950-AF4D-D41DAA2443E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08-4950-AF4D-D41DAA2443E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008-4950-AF4D-D41DAA2443E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008-4950-AF4D-D41DAA2443E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008-4950-AF4D-D41DAA2443E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008-4950-AF4D-D41DAA2443EF}"/>
              </c:ext>
            </c:extLst>
          </c:dPt>
          <c:val>
            <c:numRef>
              <c:f>'N10'!$I$2:$I$8</c:f>
              <c:numCache>
                <c:formatCode>General</c:formatCode>
                <c:ptCount val="7"/>
                <c:pt idx="0">
                  <c:v>704</c:v>
                </c:pt>
                <c:pt idx="1">
                  <c:v>1</c:v>
                </c:pt>
                <c:pt idx="2">
                  <c:v>0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008-4950-AF4D-D41DAA244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1941-4966-AEBD-C356C1B1C4B8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1941-4966-AEBD-C356C1B1C4B8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1941-4966-AEBD-C356C1B1C4B8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1941-4966-AEBD-C356C1B1C4B8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1941-4966-AEBD-C356C1B1C4B8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1941-4966-AEBD-C356C1B1C4B8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1941-4966-AEBD-C356C1B1C4B8}"/>
              </c:ext>
            </c:extLst>
          </c:dPt>
          <c:val>
            <c:numRef>
              <c:f>'N10'!$J$2:$J$8</c:f>
              <c:numCache>
                <c:formatCode>General</c:formatCode>
                <c:ptCount val="7"/>
                <c:pt idx="0">
                  <c:v>430</c:v>
                </c:pt>
                <c:pt idx="1">
                  <c:v>1</c:v>
                </c:pt>
                <c:pt idx="2">
                  <c:v>3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941-4966-AEBD-C356C1B1C4B8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941-4966-AEBD-C356C1B1C4B8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941-4966-AEBD-C356C1B1C4B8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941-4966-AEBD-C356C1B1C4B8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941-4966-AEBD-C356C1B1C4B8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41-4966-AEBD-C356C1B1C4B8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41-4966-AEBD-C356C1B1C4B8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41-4966-AEBD-C356C1B1C4B8}"/>
              </c:ext>
            </c:extLst>
          </c:dPt>
          <c:val>
            <c:numRef>
              <c:f>'N10'!$J$2:$J$8</c:f>
              <c:numCache>
                <c:formatCode>General</c:formatCode>
                <c:ptCount val="7"/>
                <c:pt idx="0">
                  <c:v>430</c:v>
                </c:pt>
                <c:pt idx="1">
                  <c:v>1</c:v>
                </c:pt>
                <c:pt idx="2">
                  <c:v>3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941-4966-AEBD-C356C1B1C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LH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8389-4FBA-A559-53A4B06CA697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8389-4FBA-A559-53A4B06CA697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8389-4FBA-A559-53A4B06CA697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8389-4FBA-A559-53A4B06CA697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8389-4FBA-A559-53A4B06CA697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8389-4FBA-A559-53A4B06CA697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8389-4FBA-A559-53A4B06CA697}"/>
              </c:ext>
            </c:extLst>
          </c:dPt>
          <c:val>
            <c:numRef>
              <c:f>'N10'!$K$2:$K$8</c:f>
              <c:numCache>
                <c:formatCode>General</c:formatCode>
                <c:ptCount val="7"/>
                <c:pt idx="0">
                  <c:v>444</c:v>
                </c:pt>
                <c:pt idx="1">
                  <c:v>0</c:v>
                </c:pt>
                <c:pt idx="2">
                  <c:v>2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389-4FBA-A559-53A4B06CA697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389-4FBA-A559-53A4B06CA697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389-4FBA-A559-53A4B06CA697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389-4FBA-A559-53A4B06CA697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389-4FBA-A559-53A4B06CA697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389-4FBA-A559-53A4B06CA697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389-4FBA-A559-53A4B06CA697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389-4FBA-A559-53A4B06CA697}"/>
              </c:ext>
            </c:extLst>
          </c:dPt>
          <c:val>
            <c:numRef>
              <c:f>'N10'!$K$2:$K$8</c:f>
              <c:numCache>
                <c:formatCode>General</c:formatCode>
                <c:ptCount val="7"/>
                <c:pt idx="0">
                  <c:v>444</c:v>
                </c:pt>
                <c:pt idx="1">
                  <c:v>0</c:v>
                </c:pt>
                <c:pt idx="2">
                  <c:v>2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389-4FBA-A559-53A4B06C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FB00-49B4-BB3F-342C2AA2ADFE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FB00-49B4-BB3F-342C2AA2ADFE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FB00-49B4-BB3F-342C2AA2ADFE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FB00-49B4-BB3F-342C2AA2ADFE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FB00-49B4-BB3F-342C2AA2ADFE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FB00-49B4-BB3F-342C2AA2ADFE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FB00-49B4-BB3F-342C2AA2ADFE}"/>
              </c:ext>
            </c:extLst>
          </c:dPt>
          <c:val>
            <c:numRef>
              <c:f>'N10'!$L$2:$L$8</c:f>
              <c:numCache>
                <c:formatCode>General</c:formatCode>
                <c:ptCount val="7"/>
                <c:pt idx="0">
                  <c:v>282</c:v>
                </c:pt>
                <c:pt idx="1">
                  <c:v>0</c:v>
                </c:pt>
                <c:pt idx="2">
                  <c:v>5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00-49B4-BB3F-342C2AA2ADF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B00-49B4-BB3F-342C2AA2ADFE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B00-49B4-BB3F-342C2AA2ADFE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B00-49B4-BB3F-342C2AA2ADFE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B00-49B4-BB3F-342C2AA2ADFE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B00-49B4-BB3F-342C2AA2ADFE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B00-49B4-BB3F-342C2AA2ADFE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B00-49B4-BB3F-342C2AA2ADFE}"/>
              </c:ext>
            </c:extLst>
          </c:dPt>
          <c:val>
            <c:numRef>
              <c:f>'N10'!$L$2:$L$8</c:f>
              <c:numCache>
                <c:formatCode>General</c:formatCode>
                <c:ptCount val="7"/>
                <c:pt idx="0">
                  <c:v>282</c:v>
                </c:pt>
                <c:pt idx="1">
                  <c:v>0</c:v>
                </c:pt>
                <c:pt idx="2">
                  <c:v>5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B00-49B4-BB3F-342C2AA2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2804-4D0C-A420-97A4CA4CB47D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2804-4D0C-A420-97A4CA4CB47D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2804-4D0C-A420-97A4CA4CB47D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2804-4D0C-A420-97A4CA4CB47D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2804-4D0C-A420-97A4CA4CB47D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2804-4D0C-A420-97A4CA4CB47D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1F-2804-4D0C-A420-97A4CA4CB47D}"/>
              </c:ext>
            </c:extLst>
          </c:dPt>
          <c:val>
            <c:numRef>
              <c:f>'N10'!$M$2:$M$8</c:f>
              <c:numCache>
                <c:formatCode>General</c:formatCode>
                <c:ptCount val="7"/>
                <c:pt idx="0">
                  <c:v>248</c:v>
                </c:pt>
                <c:pt idx="1">
                  <c:v>0</c:v>
                </c:pt>
                <c:pt idx="2">
                  <c:v>4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804-4D0C-A420-97A4CA4CB47D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804-4D0C-A420-97A4CA4CB47D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804-4D0C-A420-97A4CA4CB47D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804-4D0C-A420-97A4CA4CB47D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804-4D0C-A420-97A4CA4CB47D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804-4D0C-A420-97A4CA4CB47D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804-4D0C-A420-97A4CA4CB47D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804-4D0C-A420-97A4CA4CB47D}"/>
              </c:ext>
            </c:extLst>
          </c:dPt>
          <c:val>
            <c:numRef>
              <c:f>'N10'!$M$2:$M$8</c:f>
              <c:numCache>
                <c:formatCode>General</c:formatCode>
                <c:ptCount val="7"/>
                <c:pt idx="0">
                  <c:v>248</c:v>
                </c:pt>
                <c:pt idx="1">
                  <c:v>0</c:v>
                </c:pt>
                <c:pt idx="2">
                  <c:v>4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804-4D0C-A420-97A4CA4C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E582-44C7-9B21-9F8E16CCAAC5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1A-E582-44C7-9B21-9F8E16CCAAC5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1B-E582-44C7-9B21-9F8E16CCAAC5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1C-E582-44C7-9B21-9F8E16CCAAC5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1D-E582-44C7-9B21-9F8E16CCAAC5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E-E582-44C7-9B21-9F8E16CCAAC5}"/>
              </c:ext>
            </c:extLst>
          </c:dPt>
          <c:dPt>
            <c:idx val="6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1F-E582-44C7-9B21-9F8E16CCAAC5}"/>
              </c:ext>
            </c:extLst>
          </c:dPt>
          <c:val>
            <c:numRef>
              <c:f>'N10'!$N$2:$N$8</c:f>
              <c:numCache>
                <c:formatCode>General</c:formatCode>
                <c:ptCount val="7"/>
                <c:pt idx="0">
                  <c:v>222</c:v>
                </c:pt>
                <c:pt idx="1">
                  <c:v>0</c:v>
                </c:pt>
                <c:pt idx="2">
                  <c:v>4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82-44C7-9B21-9F8E16CCAAC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582-44C7-9B21-9F8E16CCAAC5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582-44C7-9B21-9F8E16CCAAC5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582-44C7-9B21-9F8E16CCAAC5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582-44C7-9B21-9F8E16CCAAC5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582-44C7-9B21-9F8E16CCAAC5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582-44C7-9B21-9F8E16CCAAC5}"/>
              </c:ext>
            </c:extLst>
          </c:dPt>
          <c:dPt>
            <c:idx val="6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582-44C7-9B21-9F8E16CCAAC5}"/>
              </c:ext>
            </c:extLst>
          </c:dPt>
          <c:val>
            <c:numRef>
              <c:f>'N10'!$N$2:$N$8</c:f>
              <c:numCache>
                <c:formatCode>General</c:formatCode>
                <c:ptCount val="7"/>
                <c:pt idx="0">
                  <c:v>222</c:v>
                </c:pt>
                <c:pt idx="1">
                  <c:v>0</c:v>
                </c:pt>
                <c:pt idx="2">
                  <c:v>4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582-44C7-9B21-9F8E16CCA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IB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0A6B-4445-83D2-4D644B06C4DE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0A6B-4445-83D2-4D644B06C4DE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0A6B-4445-83D2-4D644B06C4DE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0A6B-4445-83D2-4D644B06C4DE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0A6B-4445-83D2-4D644B06C4DE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0A6B-4445-83D2-4D644B06C4DE}"/>
              </c:ext>
            </c:extLst>
          </c:dPt>
          <c:dPt>
            <c:idx val="6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D-0A6B-4445-83D2-4D644B06C4DE}"/>
              </c:ext>
            </c:extLst>
          </c:dPt>
          <c:val>
            <c:numRef>
              <c:f>'Thr5'!$N$2:$N$8</c:f>
              <c:numCache>
                <c:formatCode>General</c:formatCode>
                <c:ptCount val="7"/>
                <c:pt idx="0">
                  <c:v>57</c:v>
                </c:pt>
                <c:pt idx="1">
                  <c:v>0</c:v>
                </c:pt>
                <c:pt idx="2">
                  <c:v>1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6B-4445-83D2-4D644B06C4D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A6B-4445-83D2-4D644B06C4DE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A6B-4445-83D2-4D644B06C4DE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A6B-4445-83D2-4D644B06C4DE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A6B-4445-83D2-4D644B06C4DE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A6B-4445-83D2-4D644B06C4DE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A6B-4445-83D2-4D644B06C4DE}"/>
              </c:ext>
            </c:extLst>
          </c:dPt>
          <c:dPt>
            <c:idx val="6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A6B-4445-83D2-4D644B06C4DE}"/>
              </c:ext>
            </c:extLst>
          </c:dPt>
          <c:val>
            <c:numRef>
              <c:f>'Thr5'!$N$2:$N$8</c:f>
              <c:numCache>
                <c:formatCode>General</c:formatCode>
                <c:ptCount val="7"/>
                <c:pt idx="0">
                  <c:v>57</c:v>
                </c:pt>
                <c:pt idx="1">
                  <c:v>0</c:v>
                </c:pt>
                <c:pt idx="2">
                  <c:v>1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A6B-4445-83D2-4D644B06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21C"/>
              </a:solidFill>
            </c:spPr>
            <c:extLst>
              <c:ext xmlns:c16="http://schemas.microsoft.com/office/drawing/2014/chart" uri="{C3380CC4-5D6E-409C-BE32-E72D297353CC}">
                <c16:uniqueId val="{00000001-D768-446C-8BEE-19DCA9879AF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D768-446C-8BEE-19DCA9879AF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D768-446C-8BEE-19DCA9879AF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D768-446C-8BEE-19DCA9879AF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D768-446C-8BEE-19DCA9879AF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D768-446C-8BEE-19DCA9879AF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D768-446C-8BEE-19DCA9879AFC}"/>
              </c:ext>
            </c:extLst>
          </c:dPt>
          <c:val>
            <c:numRef>
              <c:f>'Thr5'!$B$2:$B$8</c:f>
              <c:numCache>
                <c:formatCode>General</c:formatCode>
                <c:ptCount val="7"/>
                <c:pt idx="0">
                  <c:v>585</c:v>
                </c:pt>
                <c:pt idx="1">
                  <c:v>1</c:v>
                </c:pt>
                <c:pt idx="2">
                  <c:v>5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68-446C-8BEE-19DCA9879AF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21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768-446C-8BEE-19DCA9879AFC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768-446C-8BEE-19DCA9879AFC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768-446C-8BEE-19DCA9879AFC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768-446C-8BEE-19DCA9879AFC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768-446C-8BEE-19DCA9879AFC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768-446C-8BEE-19DCA9879AFC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768-446C-8BEE-19DCA9879AFC}"/>
              </c:ext>
            </c:extLst>
          </c:dPt>
          <c:val>
            <c:numRef>
              <c:f>'Thr5'!$B$2:$B$8</c:f>
              <c:numCache>
                <c:formatCode>General</c:formatCode>
                <c:ptCount val="7"/>
                <c:pt idx="0">
                  <c:v>585</c:v>
                </c:pt>
                <c:pt idx="1">
                  <c:v>1</c:v>
                </c:pt>
                <c:pt idx="2">
                  <c:v>5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768-446C-8BEE-19DCA987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79EB-450F-A6E0-38B130502601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79EB-450F-A6E0-38B130502601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79EB-450F-A6E0-38B130502601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79EB-450F-A6E0-38B130502601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79EB-450F-A6E0-38B130502601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79EB-450F-A6E0-38B130502601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79EB-450F-A6E0-38B130502601}"/>
              </c:ext>
            </c:extLst>
          </c:dPt>
          <c:val>
            <c:numRef>
              <c:f>'Thr5'!$C$2:$C$8</c:f>
              <c:numCache>
                <c:formatCode>General</c:formatCode>
                <c:ptCount val="7"/>
                <c:pt idx="0">
                  <c:v>2284</c:v>
                </c:pt>
                <c:pt idx="1">
                  <c:v>0</c:v>
                </c:pt>
                <c:pt idx="2">
                  <c:v>5</c:v>
                </c:pt>
                <c:pt idx="3">
                  <c:v>145</c:v>
                </c:pt>
                <c:pt idx="4">
                  <c:v>2</c:v>
                </c:pt>
                <c:pt idx="5">
                  <c:v>0</c:v>
                </c:pt>
                <c:pt idx="6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EB-450F-A6E0-38B13050260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9EB-450F-A6E0-38B130502601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9EB-450F-A6E0-38B130502601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9EB-450F-A6E0-38B130502601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9EB-450F-A6E0-38B130502601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9EB-450F-A6E0-38B130502601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9EB-450F-A6E0-38B130502601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9EB-450F-A6E0-38B130502601}"/>
              </c:ext>
            </c:extLst>
          </c:dPt>
          <c:val>
            <c:numRef>
              <c:f>'Thr5'!$C$2:$C$8</c:f>
              <c:numCache>
                <c:formatCode>General</c:formatCode>
                <c:ptCount val="7"/>
                <c:pt idx="0">
                  <c:v>2284</c:v>
                </c:pt>
                <c:pt idx="1">
                  <c:v>0</c:v>
                </c:pt>
                <c:pt idx="2">
                  <c:v>5</c:v>
                </c:pt>
                <c:pt idx="3">
                  <c:v>145</c:v>
                </c:pt>
                <c:pt idx="4">
                  <c:v>2</c:v>
                </c:pt>
                <c:pt idx="5">
                  <c:v>0</c:v>
                </c:pt>
                <c:pt idx="6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9EB-450F-A6E0-38B13050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6175-4791-8DBD-E88C0BB4C46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6175-4791-8DBD-E88C0BB4C46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6175-4791-8DBD-E88C0BB4C46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6175-4791-8DBD-E88C0BB4C46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6175-4791-8DBD-E88C0BB4C46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6175-4791-8DBD-E88C0BB4C46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6175-4791-8DBD-E88C0BB4C46F}"/>
              </c:ext>
            </c:extLst>
          </c:dPt>
          <c:val>
            <c:numRef>
              <c:f>'Thr5'!$D$2:$D$8</c:f>
              <c:numCache>
                <c:formatCode>General</c:formatCode>
                <c:ptCount val="7"/>
                <c:pt idx="0">
                  <c:v>710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75-4791-8DBD-E88C0BB4C46F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175-4791-8DBD-E88C0BB4C46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175-4791-8DBD-E88C0BB4C46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175-4791-8DBD-E88C0BB4C46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175-4791-8DBD-E88C0BB4C46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175-4791-8DBD-E88C0BB4C46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175-4791-8DBD-E88C0BB4C46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6175-4791-8DBD-E88C0BB4C46F}"/>
              </c:ext>
            </c:extLst>
          </c:dPt>
          <c:val>
            <c:numRef>
              <c:f>'Thr5'!$D$2:$D$8</c:f>
              <c:numCache>
                <c:formatCode>General</c:formatCode>
                <c:ptCount val="7"/>
                <c:pt idx="0">
                  <c:v>710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175-4791-8DBD-E88C0BB4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8CCB-41C6-B2A6-7AADF7117764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8CCB-41C6-B2A6-7AADF7117764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8CCB-41C6-B2A6-7AADF7117764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8CCB-41C6-B2A6-7AADF7117764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8CCB-41C6-B2A6-7AADF7117764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8CCB-41C6-B2A6-7AADF7117764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8CCB-41C6-B2A6-7AADF7117764}"/>
              </c:ext>
            </c:extLst>
          </c:dPt>
          <c:val>
            <c:numRef>
              <c:f>'Thr5'!$E$2:$E$8</c:f>
              <c:numCache>
                <c:formatCode>General</c:formatCode>
                <c:ptCount val="7"/>
                <c:pt idx="0">
                  <c:v>1317</c:v>
                </c:pt>
                <c:pt idx="1">
                  <c:v>0</c:v>
                </c:pt>
                <c:pt idx="2">
                  <c:v>6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CB-41C6-B2A6-7AADF711776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CCB-41C6-B2A6-7AADF7117764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CCB-41C6-B2A6-7AADF7117764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CCB-41C6-B2A6-7AADF7117764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CCB-41C6-B2A6-7AADF7117764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CCB-41C6-B2A6-7AADF7117764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CCB-41C6-B2A6-7AADF7117764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CCB-41C6-B2A6-7AADF7117764}"/>
              </c:ext>
            </c:extLst>
          </c:dPt>
          <c:val>
            <c:numRef>
              <c:f>'Thr5'!$E$2:$E$8</c:f>
              <c:numCache>
                <c:formatCode>General</c:formatCode>
                <c:ptCount val="7"/>
                <c:pt idx="0">
                  <c:v>1317</c:v>
                </c:pt>
                <c:pt idx="1">
                  <c:v>0</c:v>
                </c:pt>
                <c:pt idx="2">
                  <c:v>6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CCB-41C6-B2A6-7AADF711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3846-4646-9D76-20E02F90F076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3846-4646-9D76-20E02F90F076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3846-4646-9D76-20E02F90F076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3846-4646-9D76-20E02F90F076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3846-4646-9D76-20E02F90F076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3846-4646-9D76-20E02F90F076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3846-4646-9D76-20E02F90F076}"/>
              </c:ext>
            </c:extLst>
          </c:dPt>
          <c:val>
            <c:numRef>
              <c:f>'Thr5'!$F$2:$F$8</c:f>
              <c:numCache>
                <c:formatCode>General</c:formatCode>
                <c:ptCount val="7"/>
                <c:pt idx="0">
                  <c:v>1026</c:v>
                </c:pt>
                <c:pt idx="1">
                  <c:v>0</c:v>
                </c:pt>
                <c:pt idx="2">
                  <c:v>5</c:v>
                </c:pt>
                <c:pt idx="3">
                  <c:v>48</c:v>
                </c:pt>
                <c:pt idx="4">
                  <c:v>2</c:v>
                </c:pt>
                <c:pt idx="5">
                  <c:v>0</c:v>
                </c:pt>
                <c:pt idx="6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46-4646-9D76-20E02F90F07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846-4646-9D76-20E02F90F076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846-4646-9D76-20E02F90F076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846-4646-9D76-20E02F90F076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846-4646-9D76-20E02F90F076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846-4646-9D76-20E02F90F076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846-4646-9D76-20E02F90F076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3846-4646-9D76-20E02F90F076}"/>
              </c:ext>
            </c:extLst>
          </c:dPt>
          <c:val>
            <c:numRef>
              <c:f>'Thr5'!$F$2:$F$8</c:f>
              <c:numCache>
                <c:formatCode>General</c:formatCode>
                <c:ptCount val="7"/>
                <c:pt idx="0">
                  <c:v>1026</c:v>
                </c:pt>
                <c:pt idx="1">
                  <c:v>0</c:v>
                </c:pt>
                <c:pt idx="2">
                  <c:v>5</c:v>
                </c:pt>
                <c:pt idx="3">
                  <c:v>48</c:v>
                </c:pt>
                <c:pt idx="4">
                  <c:v>2</c:v>
                </c:pt>
                <c:pt idx="5">
                  <c:v>0</c:v>
                </c:pt>
                <c:pt idx="6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846-4646-9D76-20E02F90F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0F0D-40D1-95CD-E811BBFB13F5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0F0D-40D1-95CD-E811BBFB13F5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0F0D-40D1-95CD-E811BBFB13F5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0F0D-40D1-95CD-E811BBFB13F5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0F0D-40D1-95CD-E811BBFB13F5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0F0D-40D1-95CD-E811BBFB13F5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0F0D-40D1-95CD-E811BBFB13F5}"/>
              </c:ext>
            </c:extLst>
          </c:dPt>
          <c:val>
            <c:numRef>
              <c:f>'Thr5'!$G$2:$G$8</c:f>
              <c:numCache>
                <c:formatCode>General</c:formatCode>
                <c:ptCount val="7"/>
                <c:pt idx="0">
                  <c:v>581</c:v>
                </c:pt>
                <c:pt idx="1">
                  <c:v>0</c:v>
                </c:pt>
                <c:pt idx="2">
                  <c:v>5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0D-40D1-95CD-E811BBFB13F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F0D-40D1-95CD-E811BBFB13F5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F0D-40D1-95CD-E811BBFB13F5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F0D-40D1-95CD-E811BBFB13F5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F0D-40D1-95CD-E811BBFB13F5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F0D-40D1-95CD-E811BBFB13F5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F0D-40D1-95CD-E811BBFB13F5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F0D-40D1-95CD-E811BBFB13F5}"/>
              </c:ext>
            </c:extLst>
          </c:dPt>
          <c:val>
            <c:numRef>
              <c:f>'Thr5'!$G$2:$G$8</c:f>
              <c:numCache>
                <c:formatCode>General</c:formatCode>
                <c:ptCount val="7"/>
                <c:pt idx="0">
                  <c:v>581</c:v>
                </c:pt>
                <c:pt idx="1">
                  <c:v>0</c:v>
                </c:pt>
                <c:pt idx="2">
                  <c:v>5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F0D-40D1-95CD-E811BBFB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AOTU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D9E2-425C-8164-DC21B1AFE4F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D9E2-425C-8164-DC21B1AFE4F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D9E2-425C-8164-DC21B1AFE4F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D9E2-425C-8164-DC21B1AFE4F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D9E2-425C-8164-DC21B1AFE4F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D9E2-425C-8164-DC21B1AFE4F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D9E2-425C-8164-DC21B1AFE4FF}"/>
              </c:ext>
            </c:extLst>
          </c:dPt>
          <c:val>
            <c:numRef>
              <c:f>'Thr5'!$H$2:$H$8</c:f>
              <c:numCache>
                <c:formatCode>General</c:formatCode>
                <c:ptCount val="7"/>
                <c:pt idx="0">
                  <c:v>663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E2-425C-8164-DC21B1AFE4FF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9E2-425C-8164-DC21B1AFE4FF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9E2-425C-8164-DC21B1AFE4FF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9E2-425C-8164-DC21B1AFE4FF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9E2-425C-8164-DC21B1AFE4FF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9E2-425C-8164-DC21B1AFE4FF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9E2-425C-8164-DC21B1AFE4FF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9E2-425C-8164-DC21B1AFE4FF}"/>
              </c:ext>
            </c:extLst>
          </c:dPt>
          <c:val>
            <c:numRef>
              <c:f>'Thr5'!$H$2:$H$8</c:f>
              <c:numCache>
                <c:formatCode>General</c:formatCode>
                <c:ptCount val="7"/>
                <c:pt idx="0">
                  <c:v>663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E2-425C-8164-DC21B1AFE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036C-429F-95EB-A986445A2F6A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036C-429F-95EB-A986445A2F6A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036C-429F-95EB-A986445A2F6A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036C-429F-95EB-A986445A2F6A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036C-429F-95EB-A986445A2F6A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036C-429F-95EB-A986445A2F6A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036C-429F-95EB-A986445A2F6A}"/>
              </c:ext>
            </c:extLst>
          </c:dPt>
          <c:val>
            <c:numRef>
              <c:f>'Thr5'!$I$2:$I$8</c:f>
              <c:numCache>
                <c:formatCode>General</c:formatCode>
                <c:ptCount val="7"/>
                <c:pt idx="0">
                  <c:v>591</c:v>
                </c:pt>
                <c:pt idx="1">
                  <c:v>0</c:v>
                </c:pt>
                <c:pt idx="2">
                  <c:v>3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36C-429F-95EB-A986445A2F6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36C-429F-95EB-A986445A2F6A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36C-429F-95EB-A986445A2F6A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36C-429F-95EB-A986445A2F6A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36C-429F-95EB-A986445A2F6A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36C-429F-95EB-A986445A2F6A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36C-429F-95EB-A986445A2F6A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36C-429F-95EB-A986445A2F6A}"/>
              </c:ext>
            </c:extLst>
          </c:dPt>
          <c:val>
            <c:numRef>
              <c:f>'Thr5'!$I$2:$I$8</c:f>
              <c:numCache>
                <c:formatCode>General</c:formatCode>
                <c:ptCount val="7"/>
                <c:pt idx="0">
                  <c:v>591</c:v>
                </c:pt>
                <c:pt idx="1">
                  <c:v>0</c:v>
                </c:pt>
                <c:pt idx="2">
                  <c:v>3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36C-429F-95EB-A986445A2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41AE-4FEA-9892-30709ABED5D1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41AE-4FEA-9892-30709ABED5D1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41AE-4FEA-9892-30709ABED5D1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41AE-4FEA-9892-30709ABED5D1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41AE-4FEA-9892-30709ABED5D1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41AE-4FEA-9892-30709ABED5D1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41AE-4FEA-9892-30709ABED5D1}"/>
              </c:ext>
            </c:extLst>
          </c:dPt>
          <c:val>
            <c:numRef>
              <c:f>'Thr5'!$J$2:$J$8</c:f>
              <c:numCache>
                <c:formatCode>General</c:formatCode>
                <c:ptCount val="7"/>
                <c:pt idx="0">
                  <c:v>140</c:v>
                </c:pt>
                <c:pt idx="1">
                  <c:v>0</c:v>
                </c:pt>
                <c:pt idx="2">
                  <c:v>2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1AE-4FEA-9892-30709ABED5D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1AE-4FEA-9892-30709ABED5D1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1AE-4FEA-9892-30709ABED5D1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1AE-4FEA-9892-30709ABED5D1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1AE-4FEA-9892-30709ABED5D1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1AE-4FEA-9892-30709ABED5D1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1AE-4FEA-9892-30709ABED5D1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1AE-4FEA-9892-30709ABED5D1}"/>
              </c:ext>
            </c:extLst>
          </c:dPt>
          <c:val>
            <c:numRef>
              <c:f>'Thr5'!$J$2:$J$8</c:f>
              <c:numCache>
                <c:formatCode>General</c:formatCode>
                <c:ptCount val="7"/>
                <c:pt idx="0">
                  <c:v>140</c:v>
                </c:pt>
                <c:pt idx="1">
                  <c:v>0</c:v>
                </c:pt>
                <c:pt idx="2">
                  <c:v>2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1AE-4FEA-9892-30709ABED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8E1B-4653-BA72-85087D8F1FBB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8E1B-4653-BA72-85087D8F1FBB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8E1B-4653-BA72-85087D8F1FBB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8E1B-4653-BA72-85087D8F1FBB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8E1B-4653-BA72-85087D8F1FBB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8E1B-4653-BA72-85087D8F1FBB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8E1B-4653-BA72-85087D8F1FBB}"/>
              </c:ext>
            </c:extLst>
          </c:dPt>
          <c:val>
            <c:numRef>
              <c:f>'Thr5'!$K$2:$K$8</c:f>
              <c:numCache>
                <c:formatCode>General</c:formatCode>
                <c:ptCount val="7"/>
                <c:pt idx="0">
                  <c:v>125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1B-4653-BA72-85087D8F1FB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E1B-4653-BA72-85087D8F1FBB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E1B-4653-BA72-85087D8F1FBB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E1B-4653-BA72-85087D8F1FBB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1B-4653-BA72-85087D8F1FBB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E1B-4653-BA72-85087D8F1FBB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E1B-4653-BA72-85087D8F1FBB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E1B-4653-BA72-85087D8F1FBB}"/>
              </c:ext>
            </c:extLst>
          </c:dPt>
          <c:val>
            <c:numRef>
              <c:f>'Thr5'!$K$2:$K$8</c:f>
              <c:numCache>
                <c:formatCode>General</c:formatCode>
                <c:ptCount val="7"/>
                <c:pt idx="0">
                  <c:v>125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1B-4653-BA72-85087D8F1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441F-4B50-AA43-2DED442DCE2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441F-4B50-AA43-2DED442DCE2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441F-4B50-AA43-2DED442DCE2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441F-4B50-AA43-2DED442DCE2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441F-4B50-AA43-2DED442DCE2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441F-4B50-AA43-2DED442DCE2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441F-4B50-AA43-2DED442DCE20}"/>
              </c:ext>
            </c:extLst>
          </c:dPt>
          <c:val>
            <c:numRef>
              <c:f>'Thr5'!$L$2:$L$8</c:f>
              <c:numCache>
                <c:formatCode>General</c:formatCode>
                <c:ptCount val="7"/>
                <c:pt idx="0">
                  <c:v>107</c:v>
                </c:pt>
                <c:pt idx="1">
                  <c:v>0</c:v>
                </c:pt>
                <c:pt idx="2">
                  <c:v>3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1F-4B50-AA43-2DED442DCE2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41F-4B50-AA43-2DED442DCE20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41F-4B50-AA43-2DED442DCE20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41F-4B50-AA43-2DED442DCE20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41F-4B50-AA43-2DED442DCE20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41F-4B50-AA43-2DED442DCE20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41F-4B50-AA43-2DED442DCE20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41F-4B50-AA43-2DED442DCE20}"/>
              </c:ext>
            </c:extLst>
          </c:dPt>
          <c:val>
            <c:numRef>
              <c:f>'Thr5'!$L$2:$L$8</c:f>
              <c:numCache>
                <c:formatCode>General</c:formatCode>
                <c:ptCount val="7"/>
                <c:pt idx="0">
                  <c:v>107</c:v>
                </c:pt>
                <c:pt idx="1">
                  <c:v>0</c:v>
                </c:pt>
                <c:pt idx="2">
                  <c:v>3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41F-4B50-AA43-2DED442DC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F746-4182-8EC0-A55A11C12D0B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</c:spPr>
            <c:extLst>
              <c:ext xmlns:c16="http://schemas.microsoft.com/office/drawing/2014/chart" uri="{C3380CC4-5D6E-409C-BE32-E72D297353CC}">
                <c16:uniqueId val="{00000003-F746-4182-8EC0-A55A11C12D0B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</c:spPr>
            <c:extLst>
              <c:ext xmlns:c16="http://schemas.microsoft.com/office/drawing/2014/chart" uri="{C3380CC4-5D6E-409C-BE32-E72D297353CC}">
                <c16:uniqueId val="{00000005-F746-4182-8EC0-A55A11C12D0B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</c:spPr>
            <c:extLst>
              <c:ext xmlns:c16="http://schemas.microsoft.com/office/drawing/2014/chart" uri="{C3380CC4-5D6E-409C-BE32-E72D297353CC}">
                <c16:uniqueId val="{00000007-F746-4182-8EC0-A55A11C12D0B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</c:spPr>
            <c:extLst>
              <c:ext xmlns:c16="http://schemas.microsoft.com/office/drawing/2014/chart" uri="{C3380CC4-5D6E-409C-BE32-E72D297353CC}">
                <c16:uniqueId val="{00000009-F746-4182-8EC0-A55A11C12D0B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</c:spPr>
            <c:extLst>
              <c:ext xmlns:c16="http://schemas.microsoft.com/office/drawing/2014/chart" uri="{C3380CC4-5D6E-409C-BE32-E72D297353CC}">
                <c16:uniqueId val="{0000000B-F746-4182-8EC0-A55A11C12D0B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</c:spPr>
            <c:extLst>
              <c:ext xmlns:c16="http://schemas.microsoft.com/office/drawing/2014/chart" uri="{C3380CC4-5D6E-409C-BE32-E72D297353CC}">
                <c16:uniqueId val="{0000000D-F746-4182-8EC0-A55A11C12D0B}"/>
              </c:ext>
            </c:extLst>
          </c:dPt>
          <c:val>
            <c:numRef>
              <c:f>'Thr5'!$M$2:$M$8</c:f>
              <c:numCache>
                <c:formatCode>General</c:formatCode>
                <c:ptCount val="7"/>
                <c:pt idx="0">
                  <c:v>88</c:v>
                </c:pt>
                <c:pt idx="1">
                  <c:v>0</c:v>
                </c:pt>
                <c:pt idx="2">
                  <c:v>1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46-4182-8EC0-A55A11C12D0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746-4182-8EC0-A55A11C12D0B}"/>
              </c:ext>
            </c:extLst>
          </c:dPt>
          <c:dPt>
            <c:idx val="1"/>
            <c:bubble3D val="0"/>
            <c:spPr>
              <a:solidFill>
                <a:srgbClr val="9A1E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746-4182-8EC0-A55A11C12D0B}"/>
              </c:ext>
            </c:extLst>
          </c:dPt>
          <c:dPt>
            <c:idx val="2"/>
            <c:bubble3D val="0"/>
            <c:spPr>
              <a:solidFill>
                <a:srgbClr val="0A6C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746-4182-8EC0-A55A11C12D0B}"/>
              </c:ext>
            </c:extLst>
          </c:dPt>
          <c:dPt>
            <c:idx val="3"/>
            <c:bubble3D val="0"/>
            <c:spPr>
              <a:solidFill>
                <a:srgbClr val="74A5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746-4182-8EC0-A55A11C12D0B}"/>
              </c:ext>
            </c:extLst>
          </c:dPt>
          <c:dPt>
            <c:idx val="4"/>
            <c:bubble3D val="0"/>
            <c:spPr>
              <a:solidFill>
                <a:srgbClr val="772D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746-4182-8EC0-A55A11C12D0B}"/>
              </c:ext>
            </c:extLst>
          </c:dPt>
          <c:dPt>
            <c:idx val="5"/>
            <c:bubble3D val="0"/>
            <c:spPr>
              <a:solidFill>
                <a:srgbClr val="E4AC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746-4182-8EC0-A55A11C12D0B}"/>
              </c:ext>
            </c:extLst>
          </c:dPt>
          <c:dPt>
            <c:idx val="6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746-4182-8EC0-A55A11C12D0B}"/>
              </c:ext>
            </c:extLst>
          </c:dPt>
          <c:val>
            <c:numRef>
              <c:f>'Thr5'!$M$2:$M$8</c:f>
              <c:numCache>
                <c:formatCode>General</c:formatCode>
                <c:ptCount val="7"/>
                <c:pt idx="0">
                  <c:v>88</c:v>
                </c:pt>
                <c:pt idx="1">
                  <c:v>0</c:v>
                </c:pt>
                <c:pt idx="2">
                  <c:v>1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746-4182-8EC0-A55A11C1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200024</xdr:rowOff>
    </xdr:from>
    <xdr:to>
      <xdr:col>9</xdr:col>
      <xdr:colOff>273600</xdr:colOff>
      <xdr:row>26</xdr:row>
      <xdr:rowOff>28124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D03F54D-C19A-C038-F1F8-FE1A8557A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271462</xdr:colOff>
      <xdr:row>8</xdr:row>
      <xdr:rowOff>200025</xdr:rowOff>
    </xdr:from>
    <xdr:to>
      <xdr:col>17</xdr:col>
      <xdr:colOff>545062</xdr:colOff>
      <xdr:row>26</xdr:row>
      <xdr:rowOff>28125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1E0C9C-527C-5695-A5CF-08A541D9B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31976</xdr:colOff>
      <xdr:row>26</xdr:row>
      <xdr:rowOff>47624</xdr:rowOff>
    </xdr:from>
    <xdr:to>
      <xdr:col>9</xdr:col>
      <xdr:colOff>349119</xdr:colOff>
      <xdr:row>43</xdr:row>
      <xdr:rowOff>177803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A556894-3687-83C6-81B2-66EFE92C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328612</xdr:colOff>
      <xdr:row>26</xdr:row>
      <xdr:rowOff>38100</xdr:rowOff>
    </xdr:from>
    <xdr:to>
      <xdr:col>17</xdr:col>
      <xdr:colOff>602212</xdr:colOff>
      <xdr:row>43</xdr:row>
      <xdr:rowOff>75750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EEBF565-7484-D650-1DA9-8BE828FC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42862</xdr:colOff>
      <xdr:row>43</xdr:row>
      <xdr:rowOff>171450</xdr:rowOff>
    </xdr:from>
    <xdr:to>
      <xdr:col>9</xdr:col>
      <xdr:colOff>316462</xdr:colOff>
      <xdr:row>60</xdr:row>
      <xdr:rowOff>209100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000B791-7072-CD4A-AC95-6816A80F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442912</xdr:colOff>
      <xdr:row>43</xdr:row>
      <xdr:rowOff>180975</xdr:rowOff>
    </xdr:from>
    <xdr:to>
      <xdr:col>18</xdr:col>
      <xdr:colOff>30712</xdr:colOff>
      <xdr:row>61</xdr:row>
      <xdr:rowOff>9075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568BFF6-59F5-5486-02A8-87C12AD6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42862</xdr:colOff>
      <xdr:row>60</xdr:row>
      <xdr:rowOff>191860</xdr:rowOff>
    </xdr:from>
    <xdr:to>
      <xdr:col>9</xdr:col>
      <xdr:colOff>293016</xdr:colOff>
      <xdr:row>77</xdr:row>
      <xdr:rowOff>179687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98A740C-D2B0-4627-79B9-144129E27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489049</xdr:colOff>
      <xdr:row>61</xdr:row>
      <xdr:rowOff>12725</xdr:rowOff>
    </xdr:from>
    <xdr:to>
      <xdr:col>18</xdr:col>
      <xdr:colOff>19775</xdr:colOff>
      <xdr:row>78</xdr:row>
      <xdr:rowOff>79062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7BFB8E0-D12C-56C4-6BCD-4F3DE1502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673850</xdr:colOff>
      <xdr:row>9</xdr:row>
      <xdr:rowOff>25201</xdr:rowOff>
    </xdr:from>
    <xdr:to>
      <xdr:col>26</xdr:col>
      <xdr:colOff>310635</xdr:colOff>
      <xdr:row>26</xdr:row>
      <xdr:rowOff>155379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09B279D-D1EE-64CF-4773-24050723F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138112</xdr:colOff>
      <xdr:row>27</xdr:row>
      <xdr:rowOff>38100</xdr:rowOff>
    </xdr:from>
    <xdr:to>
      <xdr:col>26</xdr:col>
      <xdr:colOff>411712</xdr:colOff>
      <xdr:row>44</xdr:row>
      <xdr:rowOff>75750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A0A01E0-1261-A8FA-88FF-4E1EFC3DE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147637</xdr:colOff>
      <xdr:row>44</xdr:row>
      <xdr:rowOff>95250</xdr:rowOff>
    </xdr:from>
    <xdr:to>
      <xdr:col>26</xdr:col>
      <xdr:colOff>421237</xdr:colOff>
      <xdr:row>61</xdr:row>
      <xdr:rowOff>132900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1007EFC-C9C9-3193-61EC-96EDC7928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97734</xdr:rowOff>
    </xdr:from>
    <xdr:to>
      <xdr:col>6</xdr:col>
      <xdr:colOff>57978</xdr:colOff>
      <xdr:row>22</xdr:row>
      <xdr:rowOff>149086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31B8DF2-C161-EB00-F09A-43CAC7C6A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111814</xdr:colOff>
      <xdr:row>9</xdr:row>
      <xdr:rowOff>119269</xdr:rowOff>
    </xdr:from>
    <xdr:to>
      <xdr:col>12</xdr:col>
      <xdr:colOff>559075</xdr:colOff>
      <xdr:row>22</xdr:row>
      <xdr:rowOff>170621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871E45C-F857-F3F4-E037-C3D00FEE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652462</xdr:colOff>
      <xdr:row>9</xdr:row>
      <xdr:rowOff>123825</xdr:rowOff>
    </xdr:from>
    <xdr:to>
      <xdr:col>17</xdr:col>
      <xdr:colOff>185737</xdr:colOff>
      <xdr:row>22</xdr:row>
      <xdr:rowOff>142875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5EB9336-26C1-44CF-7C79-2EE053EFC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200025</xdr:rowOff>
    </xdr:from>
    <xdr:to>
      <xdr:col>6</xdr:col>
      <xdr:colOff>66675</xdr:colOff>
      <xdr:row>36</xdr:row>
      <xdr:rowOff>9525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1D028242-F0FA-2372-A33D-D61254F8E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100012</xdr:colOff>
      <xdr:row>22</xdr:row>
      <xdr:rowOff>190500</xdr:rowOff>
    </xdr:from>
    <xdr:to>
      <xdr:col>12</xdr:col>
      <xdr:colOff>557212</xdr:colOff>
      <xdr:row>36</xdr:row>
      <xdr:rowOff>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CE404E9F-767E-1261-7524-EE7620F2B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604837</xdr:colOff>
      <xdr:row>22</xdr:row>
      <xdr:rowOff>180975</xdr:rowOff>
    </xdr:from>
    <xdr:to>
      <xdr:col>17</xdr:col>
      <xdr:colOff>138112</xdr:colOff>
      <xdr:row>35</xdr:row>
      <xdr:rowOff>200025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7D822F8-1417-0588-2CA2-D04498F82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35</xdr:row>
      <xdr:rowOff>200025</xdr:rowOff>
    </xdr:from>
    <xdr:to>
      <xdr:col>6</xdr:col>
      <xdr:colOff>66675</xdr:colOff>
      <xdr:row>49</xdr:row>
      <xdr:rowOff>9525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50671218-3E25-97B9-2B71-4F0F4CE5E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119062</xdr:colOff>
      <xdr:row>36</xdr:row>
      <xdr:rowOff>0</xdr:rowOff>
    </xdr:from>
    <xdr:to>
      <xdr:col>12</xdr:col>
      <xdr:colOff>576262</xdr:colOff>
      <xdr:row>49</xdr:row>
      <xdr:rowOff>19050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C2EB5BB8-9E6C-D0EA-7671-98D0D0CBA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633412</xdr:colOff>
      <xdr:row>36</xdr:row>
      <xdr:rowOff>19050</xdr:rowOff>
    </xdr:from>
    <xdr:to>
      <xdr:col>17</xdr:col>
      <xdr:colOff>166687</xdr:colOff>
      <xdr:row>49</xdr:row>
      <xdr:rowOff>38100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1BA4A0E6-5DDB-BF34-6E7F-64B037219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49</xdr:row>
      <xdr:rowOff>57150</xdr:rowOff>
    </xdr:from>
    <xdr:to>
      <xdr:col>6</xdr:col>
      <xdr:colOff>66675</xdr:colOff>
      <xdr:row>62</xdr:row>
      <xdr:rowOff>76200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42C71189-DF7F-9369-AB34-17D6D8460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80962</xdr:colOff>
      <xdr:row>49</xdr:row>
      <xdr:rowOff>38100</xdr:rowOff>
    </xdr:from>
    <xdr:to>
      <xdr:col>12</xdr:col>
      <xdr:colOff>538162</xdr:colOff>
      <xdr:row>62</xdr:row>
      <xdr:rowOff>57150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2160C1A1-7DE1-7A3D-AD4F-4D4B03874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642937</xdr:colOff>
      <xdr:row>49</xdr:row>
      <xdr:rowOff>57150</xdr:rowOff>
    </xdr:from>
    <xdr:to>
      <xdr:col>17</xdr:col>
      <xdr:colOff>176212</xdr:colOff>
      <xdr:row>62</xdr:row>
      <xdr:rowOff>76200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D359B571-F6A4-0783-252D-2C2B51531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62</xdr:row>
      <xdr:rowOff>104775</xdr:rowOff>
    </xdr:from>
    <xdr:to>
      <xdr:col>6</xdr:col>
      <xdr:colOff>66675</xdr:colOff>
      <xdr:row>75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14D55351-6FFF-C53D-721D-640AA2872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104775</xdr:rowOff>
    </xdr:from>
    <xdr:to>
      <xdr:col>6</xdr:col>
      <xdr:colOff>66675</xdr:colOff>
      <xdr:row>75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EF5D58D8-B6F4-4903-AAF4-1F977D77E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97734</xdr:rowOff>
    </xdr:from>
    <xdr:to>
      <xdr:col>6</xdr:col>
      <xdr:colOff>57978</xdr:colOff>
      <xdr:row>22</xdr:row>
      <xdr:rowOff>149086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A3E9146-2B21-4610-8238-B844526C0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111814</xdr:colOff>
      <xdr:row>9</xdr:row>
      <xdr:rowOff>119269</xdr:rowOff>
    </xdr:from>
    <xdr:to>
      <xdr:col>12</xdr:col>
      <xdr:colOff>559075</xdr:colOff>
      <xdr:row>22</xdr:row>
      <xdr:rowOff>170621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D20456D-77E4-43C8-84C9-2393D308D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652462</xdr:colOff>
      <xdr:row>9</xdr:row>
      <xdr:rowOff>123825</xdr:rowOff>
    </xdr:from>
    <xdr:to>
      <xdr:col>17</xdr:col>
      <xdr:colOff>185737</xdr:colOff>
      <xdr:row>22</xdr:row>
      <xdr:rowOff>142875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829948C-98B1-4766-857A-3FC9EE76D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200025</xdr:rowOff>
    </xdr:from>
    <xdr:to>
      <xdr:col>6</xdr:col>
      <xdr:colOff>66675</xdr:colOff>
      <xdr:row>36</xdr:row>
      <xdr:rowOff>9525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DC7BF44-BB48-40CF-804F-59F10C398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100012</xdr:colOff>
      <xdr:row>22</xdr:row>
      <xdr:rowOff>190500</xdr:rowOff>
    </xdr:from>
    <xdr:to>
      <xdr:col>12</xdr:col>
      <xdr:colOff>557212</xdr:colOff>
      <xdr:row>36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613406E-FD19-45C9-98DF-F97D97309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604837</xdr:colOff>
      <xdr:row>22</xdr:row>
      <xdr:rowOff>180975</xdr:rowOff>
    </xdr:from>
    <xdr:to>
      <xdr:col>17</xdr:col>
      <xdr:colOff>138112</xdr:colOff>
      <xdr:row>35</xdr:row>
      <xdr:rowOff>200025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3AF85EB-F843-4EC7-909F-DD2FC828E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35</xdr:row>
      <xdr:rowOff>200025</xdr:rowOff>
    </xdr:from>
    <xdr:to>
      <xdr:col>6</xdr:col>
      <xdr:colOff>66675</xdr:colOff>
      <xdr:row>49</xdr:row>
      <xdr:rowOff>9525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78A04C9-B04E-48C8-BBE3-5391D78CA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119062</xdr:colOff>
      <xdr:row>36</xdr:row>
      <xdr:rowOff>0</xdr:rowOff>
    </xdr:from>
    <xdr:to>
      <xdr:col>12</xdr:col>
      <xdr:colOff>576262</xdr:colOff>
      <xdr:row>49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D073F55-6FAF-4C4C-BEC1-2B766DB29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633412</xdr:colOff>
      <xdr:row>36</xdr:row>
      <xdr:rowOff>19050</xdr:rowOff>
    </xdr:from>
    <xdr:to>
      <xdr:col>17</xdr:col>
      <xdr:colOff>166687</xdr:colOff>
      <xdr:row>49</xdr:row>
      <xdr:rowOff>38100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C4A5802-549F-40F2-8958-0021C82F9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49</xdr:row>
      <xdr:rowOff>57150</xdr:rowOff>
    </xdr:from>
    <xdr:to>
      <xdr:col>6</xdr:col>
      <xdr:colOff>66675</xdr:colOff>
      <xdr:row>62</xdr:row>
      <xdr:rowOff>76200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E3045AE6-BE5E-447E-AE05-3DBCF45A1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80962</xdr:colOff>
      <xdr:row>49</xdr:row>
      <xdr:rowOff>38100</xdr:rowOff>
    </xdr:from>
    <xdr:to>
      <xdr:col>12</xdr:col>
      <xdr:colOff>538162</xdr:colOff>
      <xdr:row>62</xdr:row>
      <xdr:rowOff>57150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8542DCD5-B20E-4B12-9C69-8A5574AE7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642937</xdr:colOff>
      <xdr:row>49</xdr:row>
      <xdr:rowOff>57150</xdr:rowOff>
    </xdr:from>
    <xdr:to>
      <xdr:col>17</xdr:col>
      <xdr:colOff>176212</xdr:colOff>
      <xdr:row>62</xdr:row>
      <xdr:rowOff>76200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4A466EC-AE24-4CF3-AFF1-85A5D9CD6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B2F2-B6FB-4AE1-A1E7-ED4E793DDB3C}">
  <dimension ref="A1:M9"/>
  <sheetViews>
    <sheetView zoomScale="55" zoomScaleNormal="55" workbookViewId="0">
      <selection sqref="A1:XFD1048576"/>
    </sheetView>
  </sheetViews>
  <sheetFormatPr defaultRowHeight="16.5" x14ac:dyDescent="0.3"/>
  <cols>
    <col min="1" max="1" width="14.125" bestFit="1" customWidth="1"/>
    <col min="15" max="15" width="13.125" bestFit="1" customWidth="1"/>
    <col min="16" max="16" width="22.25" customWidth="1"/>
    <col min="17" max="17" width="12.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3">
      <c r="A2" t="s">
        <v>11</v>
      </c>
      <c r="B2">
        <v>509</v>
      </c>
      <c r="C2">
        <v>2272</v>
      </c>
      <c r="D2">
        <v>706</v>
      </c>
      <c r="E2">
        <v>1446</v>
      </c>
      <c r="F2">
        <v>1083</v>
      </c>
      <c r="G2">
        <v>678</v>
      </c>
      <c r="H2">
        <v>783</v>
      </c>
      <c r="I2">
        <v>620</v>
      </c>
      <c r="J2">
        <v>193</v>
      </c>
      <c r="K2">
        <v>151</v>
      </c>
      <c r="L2">
        <v>133</v>
      </c>
      <c r="M2">
        <f>SUM(B2:L2)</f>
        <v>8574</v>
      </c>
    </row>
    <row r="3" spans="1:13" x14ac:dyDescent="0.3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f t="shared" ref="M3:M8" si="0">SUM(B3:L3)</f>
        <v>2</v>
      </c>
    </row>
    <row r="4" spans="1:13" x14ac:dyDescent="0.3">
      <c r="A4" t="s">
        <v>13</v>
      </c>
      <c r="B4">
        <v>5</v>
      </c>
      <c r="C4">
        <v>5</v>
      </c>
      <c r="D4">
        <v>2</v>
      </c>
      <c r="E4">
        <v>6</v>
      </c>
      <c r="F4">
        <v>2</v>
      </c>
      <c r="G4">
        <v>6</v>
      </c>
      <c r="H4">
        <v>1</v>
      </c>
      <c r="I4">
        <v>0</v>
      </c>
      <c r="J4">
        <v>5</v>
      </c>
      <c r="K4">
        <v>1</v>
      </c>
      <c r="L4">
        <v>0</v>
      </c>
      <c r="M4">
        <f t="shared" si="0"/>
        <v>33</v>
      </c>
    </row>
    <row r="5" spans="1:13" x14ac:dyDescent="0.3">
      <c r="A5" t="s">
        <v>14</v>
      </c>
      <c r="B5">
        <v>72</v>
      </c>
      <c r="C5">
        <v>145</v>
      </c>
      <c r="D5">
        <v>5</v>
      </c>
      <c r="E5">
        <v>122</v>
      </c>
      <c r="F5">
        <v>52</v>
      </c>
      <c r="G5">
        <v>100</v>
      </c>
      <c r="H5">
        <v>40</v>
      </c>
      <c r="I5">
        <v>18</v>
      </c>
      <c r="J5">
        <v>10</v>
      </c>
      <c r="K5">
        <v>36</v>
      </c>
      <c r="L5">
        <v>29</v>
      </c>
      <c r="M5">
        <f t="shared" si="0"/>
        <v>629</v>
      </c>
    </row>
    <row r="6" spans="1:13" x14ac:dyDescent="0.3">
      <c r="A6" s="1" t="s">
        <v>15</v>
      </c>
      <c r="B6">
        <v>0</v>
      </c>
      <c r="C6">
        <v>2</v>
      </c>
      <c r="D6">
        <v>0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f t="shared" si="0"/>
        <v>5</v>
      </c>
    </row>
    <row r="7" spans="1:13" x14ac:dyDescent="0.3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">
      <c r="A8" t="s">
        <v>17</v>
      </c>
      <c r="B8">
        <v>10</v>
      </c>
      <c r="C8">
        <v>78</v>
      </c>
      <c r="D8">
        <v>1</v>
      </c>
      <c r="E8">
        <v>10</v>
      </c>
      <c r="F8">
        <v>71</v>
      </c>
      <c r="G8">
        <v>6</v>
      </c>
      <c r="H8">
        <v>45</v>
      </c>
      <c r="I8">
        <v>5</v>
      </c>
      <c r="J8">
        <v>1</v>
      </c>
      <c r="K8">
        <v>3</v>
      </c>
      <c r="L8">
        <v>0</v>
      </c>
      <c r="M8">
        <f t="shared" si="0"/>
        <v>230</v>
      </c>
    </row>
    <row r="9" spans="1:13" x14ac:dyDescent="0.3">
      <c r="B9">
        <f>SUM(B2:B8)</f>
        <v>597</v>
      </c>
      <c r="C9">
        <f t="shared" ref="C9:L9" si="1">SUM(C2:C8)</f>
        <v>2502</v>
      </c>
      <c r="D9">
        <f t="shared" si="1"/>
        <v>714</v>
      </c>
      <c r="E9">
        <f t="shared" si="1"/>
        <v>1584</v>
      </c>
      <c r="F9">
        <f t="shared" si="1"/>
        <v>1210</v>
      </c>
      <c r="G9">
        <f t="shared" si="1"/>
        <v>790</v>
      </c>
      <c r="H9">
        <f t="shared" si="1"/>
        <v>870</v>
      </c>
      <c r="I9">
        <f t="shared" si="1"/>
        <v>644</v>
      </c>
      <c r="J9">
        <f t="shared" si="1"/>
        <v>209</v>
      </c>
      <c r="K9">
        <f t="shared" si="1"/>
        <v>191</v>
      </c>
      <c r="L9">
        <f t="shared" si="1"/>
        <v>162</v>
      </c>
      <c r="M9">
        <f>SUM(B9:L9)</f>
        <v>9473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0349-C38C-4C32-B1D7-2F0498768B1F}">
  <dimension ref="A1:N9"/>
  <sheetViews>
    <sheetView zoomScale="85" zoomScaleNormal="85" workbookViewId="0">
      <selection activeCell="P9" sqref="P9"/>
    </sheetView>
  </sheetViews>
  <sheetFormatPr defaultRowHeight="16.5" x14ac:dyDescent="0.3"/>
  <cols>
    <col min="1" max="1" width="14.125" bestFit="1" customWidth="1"/>
    <col min="15" max="15" width="13.125" bestFit="1" customWidth="1"/>
    <col min="16" max="16" width="22.25" customWidth="1"/>
    <col min="17" max="17" width="12.75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  <c r="I1" t="s">
        <v>7</v>
      </c>
      <c r="J1" t="s">
        <v>18</v>
      </c>
      <c r="K1" t="s">
        <v>19</v>
      </c>
      <c r="L1" t="s">
        <v>8</v>
      </c>
      <c r="M1" t="s">
        <v>10</v>
      </c>
      <c r="N1" t="s">
        <v>9</v>
      </c>
    </row>
    <row r="2" spans="1:14" x14ac:dyDescent="0.3">
      <c r="A2" t="s">
        <v>11</v>
      </c>
      <c r="B2">
        <v>792</v>
      </c>
      <c r="C2">
        <v>2878</v>
      </c>
      <c r="D2">
        <v>874</v>
      </c>
      <c r="E2">
        <v>2195</v>
      </c>
      <c r="F2">
        <v>1462</v>
      </c>
      <c r="G2">
        <v>1246</v>
      </c>
      <c r="H2">
        <v>724</v>
      </c>
      <c r="I2">
        <v>704</v>
      </c>
      <c r="J2">
        <v>430</v>
      </c>
      <c r="K2">
        <v>444</v>
      </c>
      <c r="L2">
        <v>282</v>
      </c>
      <c r="M2">
        <v>248</v>
      </c>
      <c r="N2">
        <v>222</v>
      </c>
    </row>
    <row r="3" spans="1:14" x14ac:dyDescent="0.3">
      <c r="A3" t="s">
        <v>12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13</v>
      </c>
      <c r="B4">
        <v>5</v>
      </c>
      <c r="C4">
        <v>12</v>
      </c>
      <c r="D4">
        <v>4</v>
      </c>
      <c r="E4">
        <v>14</v>
      </c>
      <c r="F4">
        <v>10</v>
      </c>
      <c r="G4">
        <v>6</v>
      </c>
      <c r="H4">
        <v>8</v>
      </c>
      <c r="I4">
        <v>0</v>
      </c>
      <c r="J4">
        <v>3</v>
      </c>
      <c r="K4">
        <v>2</v>
      </c>
      <c r="L4">
        <v>5</v>
      </c>
      <c r="M4">
        <v>4</v>
      </c>
      <c r="N4">
        <v>4</v>
      </c>
    </row>
    <row r="5" spans="1:14" x14ac:dyDescent="0.3">
      <c r="A5" t="s">
        <v>14</v>
      </c>
      <c r="B5">
        <v>113</v>
      </c>
      <c r="C5">
        <v>229</v>
      </c>
      <c r="D5">
        <v>6</v>
      </c>
      <c r="E5">
        <v>210</v>
      </c>
      <c r="F5">
        <v>192</v>
      </c>
      <c r="G5">
        <v>103</v>
      </c>
      <c r="H5">
        <v>117</v>
      </c>
      <c r="I5">
        <v>21</v>
      </c>
      <c r="J5">
        <v>30</v>
      </c>
      <c r="K5">
        <v>22</v>
      </c>
      <c r="L5">
        <v>70</v>
      </c>
      <c r="M5">
        <v>50</v>
      </c>
      <c r="N5">
        <v>60</v>
      </c>
    </row>
    <row r="6" spans="1:14" x14ac:dyDescent="0.3">
      <c r="A6" s="1" t="s">
        <v>15</v>
      </c>
      <c r="B6">
        <v>0</v>
      </c>
      <c r="C6">
        <v>2</v>
      </c>
      <c r="D6">
        <v>0</v>
      </c>
      <c r="E6">
        <v>0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17</v>
      </c>
      <c r="B8">
        <v>21</v>
      </c>
      <c r="C8">
        <v>93</v>
      </c>
      <c r="D8">
        <v>4</v>
      </c>
      <c r="E8">
        <v>33</v>
      </c>
      <c r="F8">
        <v>83</v>
      </c>
      <c r="G8">
        <v>61</v>
      </c>
      <c r="H8">
        <v>10</v>
      </c>
      <c r="I8">
        <v>8</v>
      </c>
      <c r="J8">
        <v>9</v>
      </c>
      <c r="K8">
        <v>6</v>
      </c>
      <c r="L8">
        <v>9</v>
      </c>
      <c r="M8">
        <v>2</v>
      </c>
      <c r="N8">
        <v>4</v>
      </c>
    </row>
    <row r="9" spans="1:14" x14ac:dyDescent="0.3">
      <c r="B9">
        <f>SUM(B2:B8)</f>
        <v>932</v>
      </c>
      <c r="C9">
        <f t="shared" ref="C9:N9" si="0">SUM(C2:C8)</f>
        <v>3215</v>
      </c>
      <c r="D9">
        <f t="shared" si="0"/>
        <v>889</v>
      </c>
      <c r="E9">
        <f t="shared" si="0"/>
        <v>2452</v>
      </c>
      <c r="F9">
        <f t="shared" si="0"/>
        <v>1749</v>
      </c>
      <c r="G9">
        <f t="shared" si="0"/>
        <v>1418</v>
      </c>
      <c r="H9">
        <f t="shared" si="0"/>
        <v>859</v>
      </c>
      <c r="I9">
        <f t="shared" si="0"/>
        <v>734</v>
      </c>
      <c r="J9">
        <f t="shared" si="0"/>
        <v>473</v>
      </c>
      <c r="K9">
        <f t="shared" si="0"/>
        <v>474</v>
      </c>
      <c r="L9">
        <f t="shared" si="0"/>
        <v>366</v>
      </c>
      <c r="M9">
        <f t="shared" si="0"/>
        <v>304</v>
      </c>
      <c r="N9">
        <f t="shared" si="0"/>
        <v>290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28E2-2D92-4EF7-B11B-D61C05FE5B78}">
  <dimension ref="A1:N9"/>
  <sheetViews>
    <sheetView tabSelected="1" topLeftCell="A46" zoomScaleNormal="100" workbookViewId="0">
      <selection activeCell="K67" sqref="K67"/>
    </sheetView>
  </sheetViews>
  <sheetFormatPr defaultRowHeight="16.5" x14ac:dyDescent="0.3"/>
  <cols>
    <col min="1" max="1" width="14.125" bestFit="1" customWidth="1"/>
    <col min="15" max="15" width="13.125" bestFit="1" customWidth="1"/>
    <col min="16" max="16" width="22.25" customWidth="1"/>
    <col min="17" max="17" width="12.75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10</v>
      </c>
      <c r="K1" t="s">
        <v>9</v>
      </c>
      <c r="L1" t="s">
        <v>8</v>
      </c>
      <c r="M1" t="s">
        <v>18</v>
      </c>
      <c r="N1" t="s">
        <v>352</v>
      </c>
    </row>
    <row r="2" spans="1:14" x14ac:dyDescent="0.3">
      <c r="A2" t="s">
        <v>11</v>
      </c>
      <c r="B2">
        <v>585</v>
      </c>
      <c r="C2">
        <v>2284</v>
      </c>
      <c r="D2">
        <v>710</v>
      </c>
      <c r="E2">
        <v>1317</v>
      </c>
      <c r="F2">
        <v>1026</v>
      </c>
      <c r="G2">
        <v>581</v>
      </c>
      <c r="H2">
        <v>663</v>
      </c>
      <c r="I2">
        <v>591</v>
      </c>
      <c r="J2">
        <v>140</v>
      </c>
      <c r="K2">
        <v>125</v>
      </c>
      <c r="L2">
        <v>107</v>
      </c>
      <c r="M2">
        <v>88</v>
      </c>
      <c r="N2">
        <v>57</v>
      </c>
    </row>
    <row r="3" spans="1:14" x14ac:dyDescent="0.3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13</v>
      </c>
      <c r="B4">
        <v>5</v>
      </c>
      <c r="C4">
        <v>5</v>
      </c>
      <c r="D4">
        <v>2</v>
      </c>
      <c r="E4">
        <v>6</v>
      </c>
      <c r="F4">
        <v>5</v>
      </c>
      <c r="G4">
        <v>5</v>
      </c>
      <c r="H4">
        <v>0</v>
      </c>
      <c r="I4">
        <v>3</v>
      </c>
      <c r="J4">
        <v>2</v>
      </c>
      <c r="K4">
        <v>0</v>
      </c>
      <c r="L4">
        <v>3</v>
      </c>
      <c r="M4">
        <v>1</v>
      </c>
      <c r="N4">
        <v>1</v>
      </c>
    </row>
    <row r="5" spans="1:14" x14ac:dyDescent="0.3">
      <c r="A5" t="s">
        <v>14</v>
      </c>
      <c r="B5">
        <v>98</v>
      </c>
      <c r="C5">
        <v>145</v>
      </c>
      <c r="D5">
        <v>4</v>
      </c>
      <c r="E5">
        <v>117</v>
      </c>
      <c r="F5">
        <v>48</v>
      </c>
      <c r="G5">
        <v>100</v>
      </c>
      <c r="H5">
        <v>8</v>
      </c>
      <c r="I5">
        <v>40</v>
      </c>
      <c r="J5">
        <v>27</v>
      </c>
      <c r="K5">
        <v>36</v>
      </c>
      <c r="L5">
        <v>30</v>
      </c>
      <c r="M5">
        <v>24</v>
      </c>
      <c r="N5">
        <v>17</v>
      </c>
    </row>
    <row r="6" spans="1:14" x14ac:dyDescent="0.3">
      <c r="A6" s="1" t="s">
        <v>15</v>
      </c>
      <c r="B6">
        <v>0</v>
      </c>
      <c r="C6">
        <v>2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17</v>
      </c>
      <c r="B8">
        <v>13</v>
      </c>
      <c r="C8">
        <v>81</v>
      </c>
      <c r="D8">
        <v>1</v>
      </c>
      <c r="E8">
        <v>13</v>
      </c>
      <c r="F8">
        <v>73</v>
      </c>
      <c r="G8">
        <v>5</v>
      </c>
      <c r="H8">
        <v>6</v>
      </c>
      <c r="I8">
        <v>12</v>
      </c>
      <c r="J8">
        <v>1</v>
      </c>
      <c r="K8">
        <v>1</v>
      </c>
      <c r="L8">
        <v>6</v>
      </c>
      <c r="M8">
        <v>4</v>
      </c>
      <c r="N8">
        <v>0</v>
      </c>
    </row>
    <row r="9" spans="1:14" x14ac:dyDescent="0.3">
      <c r="B9">
        <f>SUM(B2:B8)</f>
        <v>702</v>
      </c>
      <c r="C9">
        <f t="shared" ref="C9:N9" si="0">SUM(C2:C8)</f>
        <v>2517</v>
      </c>
      <c r="D9">
        <f t="shared" si="0"/>
        <v>717</v>
      </c>
      <c r="E9">
        <f t="shared" si="0"/>
        <v>1453</v>
      </c>
      <c r="F9">
        <f t="shared" si="0"/>
        <v>1154</v>
      </c>
      <c r="G9">
        <f t="shared" si="0"/>
        <v>691</v>
      </c>
      <c r="H9">
        <f t="shared" si="0"/>
        <v>678</v>
      </c>
      <c r="I9">
        <f t="shared" si="0"/>
        <v>646</v>
      </c>
      <c r="J9">
        <f t="shared" si="0"/>
        <v>170</v>
      </c>
      <c r="K9">
        <f t="shared" si="0"/>
        <v>162</v>
      </c>
      <c r="L9">
        <f t="shared" si="0"/>
        <v>146</v>
      </c>
      <c r="M9">
        <f t="shared" si="0"/>
        <v>117</v>
      </c>
      <c r="N9">
        <f t="shared" si="0"/>
        <v>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23A-B404-4F02-8B23-4A3FEAA23272}">
  <dimension ref="A1:O308"/>
  <sheetViews>
    <sheetView topLeftCell="G1" workbookViewId="0">
      <selection activeCell="K3" sqref="K3:L12"/>
    </sheetView>
  </sheetViews>
  <sheetFormatPr defaultRowHeight="16.5" x14ac:dyDescent="0.3"/>
  <cols>
    <col min="1" max="1" width="16.5" bestFit="1" customWidth="1"/>
  </cols>
  <sheetData>
    <row r="1" spans="1:15" x14ac:dyDescent="0.3">
      <c r="A1" t="s">
        <v>20</v>
      </c>
      <c r="B1">
        <v>1</v>
      </c>
      <c r="D1" t="s">
        <v>328</v>
      </c>
      <c r="E1">
        <f>SUM(B:B)</f>
        <v>3436</v>
      </c>
      <c r="F1">
        <f>SUM(E2:E13)</f>
        <v>3436</v>
      </c>
      <c r="G1">
        <f>SUM(I:I)</f>
        <v>3436</v>
      </c>
      <c r="O1">
        <f>SUM(L:L)</f>
        <v>3436</v>
      </c>
    </row>
    <row r="2" spans="1:15" x14ac:dyDescent="0.3">
      <c r="A2" t="s">
        <v>21</v>
      </c>
      <c r="B2">
        <v>6</v>
      </c>
      <c r="D2" t="s">
        <v>330</v>
      </c>
      <c r="E2">
        <f>SUM(B11:B49)</f>
        <v>1618</v>
      </c>
    </row>
    <row r="3" spans="1:15" x14ac:dyDescent="0.3">
      <c r="A3" t="s">
        <v>22</v>
      </c>
      <c r="B3">
        <v>1</v>
      </c>
      <c r="D3" t="s">
        <v>331</v>
      </c>
      <c r="E3">
        <f>SUM(B50:B60)</f>
        <v>138</v>
      </c>
      <c r="H3" t="s">
        <v>329</v>
      </c>
      <c r="I3">
        <f>E2+E3</f>
        <v>1756</v>
      </c>
      <c r="K3" t="s">
        <v>329</v>
      </c>
      <c r="L3">
        <v>1756</v>
      </c>
      <c r="M3">
        <v>1</v>
      </c>
    </row>
    <row r="4" spans="1:15" x14ac:dyDescent="0.3">
      <c r="A4" t="s">
        <v>23</v>
      </c>
      <c r="B4">
        <v>1</v>
      </c>
      <c r="D4" t="s">
        <v>333</v>
      </c>
      <c r="E4">
        <f>SUM(B61:B64)</f>
        <v>333</v>
      </c>
      <c r="H4" t="s">
        <v>342</v>
      </c>
      <c r="I4">
        <v>352</v>
      </c>
      <c r="K4" t="s">
        <v>342</v>
      </c>
      <c r="L4">
        <v>352</v>
      </c>
      <c r="M4">
        <v>2</v>
      </c>
    </row>
    <row r="5" spans="1:15" x14ac:dyDescent="0.3">
      <c r="A5" t="s">
        <v>24</v>
      </c>
      <c r="B5">
        <v>1</v>
      </c>
      <c r="D5" t="s">
        <v>335</v>
      </c>
      <c r="E5">
        <f>B66</f>
        <v>82</v>
      </c>
      <c r="H5" t="s">
        <v>332</v>
      </c>
      <c r="I5">
        <v>333</v>
      </c>
      <c r="K5" t="s">
        <v>332</v>
      </c>
      <c r="L5">
        <v>333</v>
      </c>
      <c r="M5">
        <v>3</v>
      </c>
    </row>
    <row r="6" spans="1:15" x14ac:dyDescent="0.3">
      <c r="A6" t="s">
        <v>25</v>
      </c>
      <c r="B6">
        <v>1</v>
      </c>
      <c r="D6" t="s">
        <v>337</v>
      </c>
      <c r="E6">
        <f>SUM(B67:B69)</f>
        <v>228</v>
      </c>
      <c r="H6" t="s">
        <v>346</v>
      </c>
      <c r="I6">
        <v>317</v>
      </c>
      <c r="K6" t="s">
        <v>346</v>
      </c>
      <c r="L6">
        <v>317</v>
      </c>
      <c r="M6">
        <v>4</v>
      </c>
    </row>
    <row r="7" spans="1:15" x14ac:dyDescent="0.3">
      <c r="A7" t="s">
        <v>26</v>
      </c>
      <c r="B7">
        <v>1</v>
      </c>
      <c r="D7" t="s">
        <v>339</v>
      </c>
      <c r="E7">
        <f>SUM(B70:B89)</f>
        <v>47</v>
      </c>
      <c r="H7" t="s">
        <v>336</v>
      </c>
      <c r="I7">
        <v>228</v>
      </c>
      <c r="K7" t="s">
        <v>336</v>
      </c>
      <c r="L7">
        <v>228</v>
      </c>
      <c r="M7">
        <v>5</v>
      </c>
    </row>
    <row r="8" spans="1:15" x14ac:dyDescent="0.3">
      <c r="A8" t="s">
        <v>27</v>
      </c>
      <c r="B8">
        <v>1</v>
      </c>
      <c r="D8" t="s">
        <v>341</v>
      </c>
      <c r="E8">
        <f>SUM(B90:B207)</f>
        <v>210</v>
      </c>
      <c r="H8" t="s">
        <v>340</v>
      </c>
      <c r="I8">
        <v>210</v>
      </c>
      <c r="K8" t="s">
        <v>340</v>
      </c>
      <c r="L8">
        <v>210</v>
      </c>
      <c r="M8">
        <v>6</v>
      </c>
    </row>
    <row r="9" spans="1:15" x14ac:dyDescent="0.3">
      <c r="A9" t="s">
        <v>28</v>
      </c>
      <c r="B9">
        <v>1</v>
      </c>
      <c r="D9" t="s">
        <v>343</v>
      </c>
      <c r="E9">
        <f>SUM(B208:B261)</f>
        <v>352</v>
      </c>
      <c r="H9" t="s">
        <v>334</v>
      </c>
      <c r="I9">
        <v>82</v>
      </c>
      <c r="K9" t="s">
        <v>334</v>
      </c>
      <c r="L9">
        <v>82</v>
      </c>
      <c r="M9">
        <v>7</v>
      </c>
    </row>
    <row r="10" spans="1:15" x14ac:dyDescent="0.3">
      <c r="A10" t="s">
        <v>29</v>
      </c>
      <c r="B10">
        <v>1</v>
      </c>
      <c r="D10" t="s">
        <v>345</v>
      </c>
      <c r="E10">
        <f>SUM(B263:B269)</f>
        <v>21</v>
      </c>
      <c r="H10" t="s">
        <v>338</v>
      </c>
      <c r="I10">
        <v>47</v>
      </c>
      <c r="K10" t="s">
        <v>338</v>
      </c>
      <c r="L10">
        <v>47</v>
      </c>
      <c r="M10">
        <v>8</v>
      </c>
    </row>
    <row r="11" spans="1:15" x14ac:dyDescent="0.3">
      <c r="A11" t="s">
        <v>30</v>
      </c>
      <c r="B11">
        <v>121</v>
      </c>
      <c r="D11" t="s">
        <v>347</v>
      </c>
      <c r="E11">
        <f>SUM(B270:B278)</f>
        <v>317</v>
      </c>
      <c r="H11" t="s">
        <v>350</v>
      </c>
      <c r="I11">
        <v>47</v>
      </c>
      <c r="K11" t="s">
        <v>348</v>
      </c>
      <c r="L11">
        <v>43</v>
      </c>
      <c r="M11">
        <v>9</v>
      </c>
    </row>
    <row r="12" spans="1:15" x14ac:dyDescent="0.3">
      <c r="A12" t="s">
        <v>31</v>
      </c>
      <c r="B12">
        <v>102</v>
      </c>
      <c r="D12" t="s">
        <v>349</v>
      </c>
      <c r="E12">
        <f>SUM(B297:B305)</f>
        <v>43</v>
      </c>
      <c r="H12" t="s">
        <v>348</v>
      </c>
      <c r="I12">
        <v>43</v>
      </c>
      <c r="K12" t="s">
        <v>350</v>
      </c>
      <c r="L12">
        <f>47+21</f>
        <v>68</v>
      </c>
    </row>
    <row r="13" spans="1:15" x14ac:dyDescent="0.3">
      <c r="A13" t="s">
        <v>32</v>
      </c>
      <c r="B13">
        <v>95</v>
      </c>
      <c r="D13" t="s">
        <v>351</v>
      </c>
      <c r="E13">
        <f>SUM(B1:B10)+B65+SUM(B279:B296)+B306+B307+B308+B262</f>
        <v>47</v>
      </c>
      <c r="H13" t="s">
        <v>344</v>
      </c>
      <c r="I13">
        <v>21</v>
      </c>
    </row>
    <row r="14" spans="1:15" x14ac:dyDescent="0.3">
      <c r="A14" t="s">
        <v>33</v>
      </c>
      <c r="B14">
        <v>51</v>
      </c>
    </row>
    <row r="15" spans="1:15" x14ac:dyDescent="0.3">
      <c r="A15" t="s">
        <v>34</v>
      </c>
      <c r="B15">
        <v>2</v>
      </c>
    </row>
    <row r="16" spans="1:15" x14ac:dyDescent="0.3">
      <c r="A16" t="s">
        <v>35</v>
      </c>
      <c r="B16">
        <v>61</v>
      </c>
    </row>
    <row r="17" spans="1:2" x14ac:dyDescent="0.3">
      <c r="A17" t="s">
        <v>36</v>
      </c>
      <c r="B17">
        <v>183</v>
      </c>
    </row>
    <row r="18" spans="1:2" x14ac:dyDescent="0.3">
      <c r="A18" t="s">
        <v>37</v>
      </c>
      <c r="B18">
        <v>70</v>
      </c>
    </row>
    <row r="19" spans="1:2" x14ac:dyDescent="0.3">
      <c r="A19" t="s">
        <v>38</v>
      </c>
      <c r="B19">
        <v>54</v>
      </c>
    </row>
    <row r="20" spans="1:2" x14ac:dyDescent="0.3">
      <c r="A20" t="s">
        <v>39</v>
      </c>
      <c r="B20">
        <v>74</v>
      </c>
    </row>
    <row r="21" spans="1:2" x14ac:dyDescent="0.3">
      <c r="A21" t="s">
        <v>40</v>
      </c>
      <c r="B21">
        <v>142</v>
      </c>
    </row>
    <row r="22" spans="1:2" x14ac:dyDescent="0.3">
      <c r="A22" t="s">
        <v>41</v>
      </c>
      <c r="B22">
        <v>92</v>
      </c>
    </row>
    <row r="23" spans="1:2" x14ac:dyDescent="0.3">
      <c r="A23" t="s">
        <v>42</v>
      </c>
      <c r="B23">
        <v>7</v>
      </c>
    </row>
    <row r="24" spans="1:2" x14ac:dyDescent="0.3">
      <c r="A24" t="s">
        <v>43</v>
      </c>
      <c r="B24">
        <v>26</v>
      </c>
    </row>
    <row r="25" spans="1:2" x14ac:dyDescent="0.3">
      <c r="A25" t="s">
        <v>44</v>
      </c>
      <c r="B25">
        <v>62</v>
      </c>
    </row>
    <row r="26" spans="1:2" x14ac:dyDescent="0.3">
      <c r="A26" t="s">
        <v>45</v>
      </c>
      <c r="B26">
        <v>46</v>
      </c>
    </row>
    <row r="27" spans="1:2" x14ac:dyDescent="0.3">
      <c r="A27" t="s">
        <v>46</v>
      </c>
      <c r="B27">
        <v>35</v>
      </c>
    </row>
    <row r="28" spans="1:2" x14ac:dyDescent="0.3">
      <c r="A28" t="s">
        <v>47</v>
      </c>
      <c r="B28">
        <v>29</v>
      </c>
    </row>
    <row r="29" spans="1:2" x14ac:dyDescent="0.3">
      <c r="A29" t="s">
        <v>48</v>
      </c>
      <c r="B29">
        <v>31</v>
      </c>
    </row>
    <row r="30" spans="1:2" x14ac:dyDescent="0.3">
      <c r="A30" t="s">
        <v>49</v>
      </c>
      <c r="B30">
        <v>19</v>
      </c>
    </row>
    <row r="31" spans="1:2" x14ac:dyDescent="0.3">
      <c r="A31" t="s">
        <v>50</v>
      </c>
      <c r="B31">
        <v>56</v>
      </c>
    </row>
    <row r="32" spans="1:2" x14ac:dyDescent="0.3">
      <c r="A32" t="s">
        <v>51</v>
      </c>
      <c r="B32">
        <v>23</v>
      </c>
    </row>
    <row r="33" spans="1:2" x14ac:dyDescent="0.3">
      <c r="A33" t="s">
        <v>52</v>
      </c>
      <c r="B33">
        <v>17</v>
      </c>
    </row>
    <row r="34" spans="1:2" x14ac:dyDescent="0.3">
      <c r="A34" t="s">
        <v>53</v>
      </c>
      <c r="B34">
        <v>5</v>
      </c>
    </row>
    <row r="35" spans="1:2" x14ac:dyDescent="0.3">
      <c r="A35" t="s">
        <v>54</v>
      </c>
      <c r="B35">
        <v>1</v>
      </c>
    </row>
    <row r="36" spans="1:2" x14ac:dyDescent="0.3">
      <c r="A36" t="s">
        <v>55</v>
      </c>
      <c r="B36">
        <v>14</v>
      </c>
    </row>
    <row r="37" spans="1:2" x14ac:dyDescent="0.3">
      <c r="A37" t="s">
        <v>56</v>
      </c>
      <c r="B37">
        <v>7</v>
      </c>
    </row>
    <row r="38" spans="1:2" x14ac:dyDescent="0.3">
      <c r="A38" t="s">
        <v>57</v>
      </c>
      <c r="B38">
        <v>4</v>
      </c>
    </row>
    <row r="39" spans="1:2" x14ac:dyDescent="0.3">
      <c r="A39" t="s">
        <v>58</v>
      </c>
      <c r="B39">
        <v>15</v>
      </c>
    </row>
    <row r="40" spans="1:2" x14ac:dyDescent="0.3">
      <c r="A40" t="s">
        <v>59</v>
      </c>
      <c r="B40">
        <v>9</v>
      </c>
    </row>
    <row r="41" spans="1:2" x14ac:dyDescent="0.3">
      <c r="A41" t="s">
        <v>60</v>
      </c>
      <c r="B41">
        <v>4</v>
      </c>
    </row>
    <row r="42" spans="1:2" x14ac:dyDescent="0.3">
      <c r="A42" t="s">
        <v>61</v>
      </c>
      <c r="B42">
        <v>50</v>
      </c>
    </row>
    <row r="43" spans="1:2" x14ac:dyDescent="0.3">
      <c r="A43" t="s">
        <v>62</v>
      </c>
      <c r="B43">
        <v>18</v>
      </c>
    </row>
    <row r="44" spans="1:2" x14ac:dyDescent="0.3">
      <c r="A44" t="s">
        <v>63</v>
      </c>
      <c r="B44">
        <v>6</v>
      </c>
    </row>
    <row r="45" spans="1:2" x14ac:dyDescent="0.3">
      <c r="A45" t="s">
        <v>64</v>
      </c>
      <c r="B45">
        <v>6</v>
      </c>
    </row>
    <row r="46" spans="1:2" x14ac:dyDescent="0.3">
      <c r="A46" t="s">
        <v>65</v>
      </c>
      <c r="B46">
        <v>2</v>
      </c>
    </row>
    <row r="47" spans="1:2" x14ac:dyDescent="0.3">
      <c r="A47" t="s">
        <v>66</v>
      </c>
      <c r="B47">
        <v>12</v>
      </c>
    </row>
    <row r="48" spans="1:2" x14ac:dyDescent="0.3">
      <c r="A48" t="s">
        <v>67</v>
      </c>
      <c r="B48">
        <v>7</v>
      </c>
    </row>
    <row r="49" spans="1:2" x14ac:dyDescent="0.3">
      <c r="A49" t="s">
        <v>68</v>
      </c>
      <c r="B49">
        <v>60</v>
      </c>
    </row>
    <row r="50" spans="1:2" x14ac:dyDescent="0.3">
      <c r="A50" t="s">
        <v>69</v>
      </c>
      <c r="B50">
        <v>1</v>
      </c>
    </row>
    <row r="51" spans="1:2" x14ac:dyDescent="0.3">
      <c r="A51" t="s">
        <v>70</v>
      </c>
      <c r="B51">
        <v>12</v>
      </c>
    </row>
    <row r="52" spans="1:2" x14ac:dyDescent="0.3">
      <c r="A52" t="s">
        <v>71</v>
      </c>
      <c r="B52">
        <v>22</v>
      </c>
    </row>
    <row r="53" spans="1:2" x14ac:dyDescent="0.3">
      <c r="A53" t="s">
        <v>72</v>
      </c>
      <c r="B53">
        <v>28</v>
      </c>
    </row>
    <row r="54" spans="1:2" x14ac:dyDescent="0.3">
      <c r="A54" t="s">
        <v>73</v>
      </c>
      <c r="B54">
        <v>25</v>
      </c>
    </row>
    <row r="55" spans="1:2" x14ac:dyDescent="0.3">
      <c r="A55" t="s">
        <v>74</v>
      </c>
      <c r="B55">
        <v>18</v>
      </c>
    </row>
    <row r="56" spans="1:2" x14ac:dyDescent="0.3">
      <c r="A56" t="s">
        <v>75</v>
      </c>
      <c r="B56">
        <v>8</v>
      </c>
    </row>
    <row r="57" spans="1:2" x14ac:dyDescent="0.3">
      <c r="A57" t="s">
        <v>76</v>
      </c>
      <c r="B57">
        <v>6</v>
      </c>
    </row>
    <row r="58" spans="1:2" x14ac:dyDescent="0.3">
      <c r="A58" t="s">
        <v>77</v>
      </c>
      <c r="B58">
        <v>6</v>
      </c>
    </row>
    <row r="59" spans="1:2" x14ac:dyDescent="0.3">
      <c r="A59" t="s">
        <v>78</v>
      </c>
      <c r="B59">
        <v>4</v>
      </c>
    </row>
    <row r="60" spans="1:2" x14ac:dyDescent="0.3">
      <c r="A60" t="s">
        <v>79</v>
      </c>
      <c r="B60">
        <v>8</v>
      </c>
    </row>
    <row r="61" spans="1:2" x14ac:dyDescent="0.3">
      <c r="A61" t="s">
        <v>80</v>
      </c>
      <c r="B61">
        <v>113</v>
      </c>
    </row>
    <row r="62" spans="1:2" x14ac:dyDescent="0.3">
      <c r="A62" t="s">
        <v>81</v>
      </c>
      <c r="B62">
        <v>115</v>
      </c>
    </row>
    <row r="63" spans="1:2" x14ac:dyDescent="0.3">
      <c r="A63" t="s">
        <v>82</v>
      </c>
      <c r="B63">
        <v>102</v>
      </c>
    </row>
    <row r="64" spans="1:2" x14ac:dyDescent="0.3">
      <c r="A64" t="s">
        <v>83</v>
      </c>
      <c r="B64">
        <v>3</v>
      </c>
    </row>
    <row r="65" spans="1:2" x14ac:dyDescent="0.3">
      <c r="A65" t="s">
        <v>84</v>
      </c>
      <c r="B65">
        <v>1</v>
      </c>
    </row>
    <row r="66" spans="1:2" x14ac:dyDescent="0.3">
      <c r="A66" t="s">
        <v>85</v>
      </c>
      <c r="B66">
        <v>82</v>
      </c>
    </row>
    <row r="67" spans="1:2" x14ac:dyDescent="0.3">
      <c r="A67" t="s">
        <v>86</v>
      </c>
      <c r="B67">
        <v>72</v>
      </c>
    </row>
    <row r="68" spans="1:2" x14ac:dyDescent="0.3">
      <c r="A68" t="s">
        <v>87</v>
      </c>
      <c r="B68">
        <v>102</v>
      </c>
    </row>
    <row r="69" spans="1:2" x14ac:dyDescent="0.3">
      <c r="A69" t="s">
        <v>88</v>
      </c>
      <c r="B69">
        <v>54</v>
      </c>
    </row>
    <row r="70" spans="1:2" x14ac:dyDescent="0.3">
      <c r="A70" t="s">
        <v>89</v>
      </c>
      <c r="B70">
        <v>1</v>
      </c>
    </row>
    <row r="71" spans="1:2" x14ac:dyDescent="0.3">
      <c r="A71" t="s">
        <v>90</v>
      </c>
      <c r="B71">
        <v>1</v>
      </c>
    </row>
    <row r="72" spans="1:2" x14ac:dyDescent="0.3">
      <c r="A72" t="s">
        <v>91</v>
      </c>
      <c r="B72">
        <v>1</v>
      </c>
    </row>
    <row r="73" spans="1:2" x14ac:dyDescent="0.3">
      <c r="A73" t="s">
        <v>92</v>
      </c>
      <c r="B73">
        <v>1</v>
      </c>
    </row>
    <row r="74" spans="1:2" x14ac:dyDescent="0.3">
      <c r="A74" t="s">
        <v>93</v>
      </c>
      <c r="B74">
        <v>1</v>
      </c>
    </row>
    <row r="75" spans="1:2" x14ac:dyDescent="0.3">
      <c r="A75" t="s">
        <v>94</v>
      </c>
      <c r="B75">
        <v>1</v>
      </c>
    </row>
    <row r="76" spans="1:2" x14ac:dyDescent="0.3">
      <c r="A76" t="s">
        <v>95</v>
      </c>
      <c r="B76">
        <v>1</v>
      </c>
    </row>
    <row r="77" spans="1:2" x14ac:dyDescent="0.3">
      <c r="A77" t="s">
        <v>96</v>
      </c>
      <c r="B77">
        <v>1</v>
      </c>
    </row>
    <row r="78" spans="1:2" x14ac:dyDescent="0.3">
      <c r="A78" t="s">
        <v>97</v>
      </c>
      <c r="B78">
        <v>4</v>
      </c>
    </row>
    <row r="79" spans="1:2" x14ac:dyDescent="0.3">
      <c r="A79" t="s">
        <v>98</v>
      </c>
      <c r="B79">
        <v>1</v>
      </c>
    </row>
    <row r="80" spans="1:2" x14ac:dyDescent="0.3">
      <c r="A80" t="s">
        <v>99</v>
      </c>
      <c r="B80">
        <v>1</v>
      </c>
    </row>
    <row r="81" spans="1:2" x14ac:dyDescent="0.3">
      <c r="A81" t="s">
        <v>100</v>
      </c>
      <c r="B81">
        <v>1</v>
      </c>
    </row>
    <row r="82" spans="1:2" x14ac:dyDescent="0.3">
      <c r="A82" t="s">
        <v>101</v>
      </c>
      <c r="B82">
        <v>1</v>
      </c>
    </row>
    <row r="83" spans="1:2" x14ac:dyDescent="0.3">
      <c r="A83" t="s">
        <v>102</v>
      </c>
      <c r="B83">
        <v>1</v>
      </c>
    </row>
    <row r="84" spans="1:2" x14ac:dyDescent="0.3">
      <c r="A84" t="s">
        <v>103</v>
      </c>
      <c r="B84">
        <v>1</v>
      </c>
    </row>
    <row r="85" spans="1:2" x14ac:dyDescent="0.3">
      <c r="A85" t="s">
        <v>104</v>
      </c>
      <c r="B85">
        <v>1</v>
      </c>
    </row>
    <row r="86" spans="1:2" x14ac:dyDescent="0.3">
      <c r="A86" t="s">
        <v>105</v>
      </c>
      <c r="B86">
        <v>1</v>
      </c>
    </row>
    <row r="87" spans="1:2" x14ac:dyDescent="0.3">
      <c r="A87" t="s">
        <v>106</v>
      </c>
      <c r="B87">
        <v>1</v>
      </c>
    </row>
    <row r="88" spans="1:2" x14ac:dyDescent="0.3">
      <c r="A88" t="s">
        <v>107</v>
      </c>
      <c r="B88">
        <v>20</v>
      </c>
    </row>
    <row r="89" spans="1:2" x14ac:dyDescent="0.3">
      <c r="A89" t="s">
        <v>108</v>
      </c>
      <c r="B89">
        <v>6</v>
      </c>
    </row>
    <row r="90" spans="1:2" x14ac:dyDescent="0.3">
      <c r="A90" t="s">
        <v>109</v>
      </c>
      <c r="B90">
        <v>1</v>
      </c>
    </row>
    <row r="91" spans="1:2" x14ac:dyDescent="0.3">
      <c r="A91" t="s">
        <v>110</v>
      </c>
      <c r="B91">
        <v>1</v>
      </c>
    </row>
    <row r="92" spans="1:2" x14ac:dyDescent="0.3">
      <c r="A92" t="s">
        <v>111</v>
      </c>
      <c r="B92">
        <v>1</v>
      </c>
    </row>
    <row r="93" spans="1:2" x14ac:dyDescent="0.3">
      <c r="A93" t="s">
        <v>112</v>
      </c>
      <c r="B93">
        <v>1</v>
      </c>
    </row>
    <row r="94" spans="1:2" x14ac:dyDescent="0.3">
      <c r="A94" t="s">
        <v>113</v>
      </c>
      <c r="B94">
        <v>1</v>
      </c>
    </row>
    <row r="95" spans="1:2" x14ac:dyDescent="0.3">
      <c r="A95" t="s">
        <v>114</v>
      </c>
      <c r="B95">
        <v>1</v>
      </c>
    </row>
    <row r="96" spans="1:2" x14ac:dyDescent="0.3">
      <c r="A96" t="s">
        <v>115</v>
      </c>
      <c r="B96">
        <v>12</v>
      </c>
    </row>
    <row r="97" spans="1:2" x14ac:dyDescent="0.3">
      <c r="A97" t="s">
        <v>116</v>
      </c>
      <c r="B97">
        <v>4</v>
      </c>
    </row>
    <row r="98" spans="1:2" x14ac:dyDescent="0.3">
      <c r="A98" t="s">
        <v>117</v>
      </c>
      <c r="B98">
        <v>1</v>
      </c>
    </row>
    <row r="99" spans="1:2" x14ac:dyDescent="0.3">
      <c r="A99" t="s">
        <v>118</v>
      </c>
      <c r="B99">
        <v>11</v>
      </c>
    </row>
    <row r="100" spans="1:2" x14ac:dyDescent="0.3">
      <c r="A100" t="s">
        <v>119</v>
      </c>
      <c r="B100">
        <v>1</v>
      </c>
    </row>
    <row r="101" spans="1:2" x14ac:dyDescent="0.3">
      <c r="A101" t="s">
        <v>120</v>
      </c>
      <c r="B101">
        <v>1</v>
      </c>
    </row>
    <row r="102" spans="1:2" x14ac:dyDescent="0.3">
      <c r="A102" t="s">
        <v>121</v>
      </c>
      <c r="B102">
        <v>1</v>
      </c>
    </row>
    <row r="103" spans="1:2" x14ac:dyDescent="0.3">
      <c r="A103" t="s">
        <v>122</v>
      </c>
      <c r="B103">
        <v>1</v>
      </c>
    </row>
    <row r="104" spans="1:2" x14ac:dyDescent="0.3">
      <c r="A104" t="s">
        <v>123</v>
      </c>
      <c r="B104">
        <v>1</v>
      </c>
    </row>
    <row r="105" spans="1:2" x14ac:dyDescent="0.3">
      <c r="A105" t="s">
        <v>124</v>
      </c>
      <c r="B105">
        <v>3</v>
      </c>
    </row>
    <row r="106" spans="1:2" x14ac:dyDescent="0.3">
      <c r="A106" t="s">
        <v>125</v>
      </c>
      <c r="B106">
        <v>1</v>
      </c>
    </row>
    <row r="107" spans="1:2" x14ac:dyDescent="0.3">
      <c r="A107" t="s">
        <v>126</v>
      </c>
      <c r="B107">
        <v>1</v>
      </c>
    </row>
    <row r="108" spans="1:2" x14ac:dyDescent="0.3">
      <c r="A108" t="s">
        <v>127</v>
      </c>
      <c r="B108">
        <v>2</v>
      </c>
    </row>
    <row r="109" spans="1:2" x14ac:dyDescent="0.3">
      <c r="A109" t="s">
        <v>128</v>
      </c>
      <c r="B109">
        <v>1</v>
      </c>
    </row>
    <row r="110" spans="1:2" x14ac:dyDescent="0.3">
      <c r="A110" t="s">
        <v>129</v>
      </c>
      <c r="B110">
        <v>1</v>
      </c>
    </row>
    <row r="111" spans="1:2" x14ac:dyDescent="0.3">
      <c r="A111" t="s">
        <v>130</v>
      </c>
      <c r="B111">
        <v>2</v>
      </c>
    </row>
    <row r="112" spans="1:2" x14ac:dyDescent="0.3">
      <c r="A112" t="s">
        <v>131</v>
      </c>
      <c r="B112">
        <v>2</v>
      </c>
    </row>
    <row r="113" spans="1:2" x14ac:dyDescent="0.3">
      <c r="A113" t="s">
        <v>132</v>
      </c>
      <c r="B113">
        <v>1</v>
      </c>
    </row>
    <row r="114" spans="1:2" x14ac:dyDescent="0.3">
      <c r="A114" t="s">
        <v>133</v>
      </c>
      <c r="B114">
        <v>1</v>
      </c>
    </row>
    <row r="115" spans="1:2" x14ac:dyDescent="0.3">
      <c r="A115" t="s">
        <v>134</v>
      </c>
      <c r="B115">
        <v>3</v>
      </c>
    </row>
    <row r="116" spans="1:2" x14ac:dyDescent="0.3">
      <c r="A116" t="s">
        <v>135</v>
      </c>
      <c r="B116">
        <v>4</v>
      </c>
    </row>
    <row r="117" spans="1:2" x14ac:dyDescent="0.3">
      <c r="A117" t="s">
        <v>136</v>
      </c>
      <c r="B117">
        <v>1</v>
      </c>
    </row>
    <row r="118" spans="1:2" x14ac:dyDescent="0.3">
      <c r="A118" t="s">
        <v>137</v>
      </c>
      <c r="B118">
        <v>2</v>
      </c>
    </row>
    <row r="119" spans="1:2" x14ac:dyDescent="0.3">
      <c r="A119" t="s">
        <v>138</v>
      </c>
      <c r="B119">
        <v>5</v>
      </c>
    </row>
    <row r="120" spans="1:2" x14ac:dyDescent="0.3">
      <c r="A120" t="s">
        <v>139</v>
      </c>
      <c r="B120">
        <v>3</v>
      </c>
    </row>
    <row r="121" spans="1:2" x14ac:dyDescent="0.3">
      <c r="A121" t="s">
        <v>140</v>
      </c>
      <c r="B121">
        <v>1</v>
      </c>
    </row>
    <row r="122" spans="1:2" x14ac:dyDescent="0.3">
      <c r="A122" t="s">
        <v>141</v>
      </c>
      <c r="B122">
        <v>1</v>
      </c>
    </row>
    <row r="123" spans="1:2" x14ac:dyDescent="0.3">
      <c r="A123" t="s">
        <v>142</v>
      </c>
      <c r="B123">
        <v>1</v>
      </c>
    </row>
    <row r="124" spans="1:2" x14ac:dyDescent="0.3">
      <c r="A124" t="s">
        <v>143</v>
      </c>
      <c r="B124">
        <v>1</v>
      </c>
    </row>
    <row r="125" spans="1:2" x14ac:dyDescent="0.3">
      <c r="A125" t="s">
        <v>144</v>
      </c>
      <c r="B125">
        <v>1</v>
      </c>
    </row>
    <row r="126" spans="1:2" x14ac:dyDescent="0.3">
      <c r="A126" t="s">
        <v>145</v>
      </c>
      <c r="B126">
        <v>2</v>
      </c>
    </row>
    <row r="127" spans="1:2" x14ac:dyDescent="0.3">
      <c r="A127" t="s">
        <v>146</v>
      </c>
      <c r="B127">
        <v>2</v>
      </c>
    </row>
    <row r="128" spans="1:2" x14ac:dyDescent="0.3">
      <c r="A128" t="s">
        <v>147</v>
      </c>
      <c r="B128">
        <v>2</v>
      </c>
    </row>
    <row r="129" spans="1:2" x14ac:dyDescent="0.3">
      <c r="A129" t="s">
        <v>148</v>
      </c>
      <c r="B129">
        <v>1</v>
      </c>
    </row>
    <row r="130" spans="1:2" x14ac:dyDescent="0.3">
      <c r="A130" t="s">
        <v>149</v>
      </c>
      <c r="B130">
        <v>1</v>
      </c>
    </row>
    <row r="131" spans="1:2" x14ac:dyDescent="0.3">
      <c r="A131" t="s">
        <v>150</v>
      </c>
      <c r="B131">
        <v>1</v>
      </c>
    </row>
    <row r="132" spans="1:2" x14ac:dyDescent="0.3">
      <c r="A132" t="s">
        <v>151</v>
      </c>
      <c r="B132">
        <v>1</v>
      </c>
    </row>
    <row r="133" spans="1:2" x14ac:dyDescent="0.3">
      <c r="A133" t="s">
        <v>152</v>
      </c>
      <c r="B133">
        <v>1</v>
      </c>
    </row>
    <row r="134" spans="1:2" x14ac:dyDescent="0.3">
      <c r="A134" t="s">
        <v>153</v>
      </c>
      <c r="B134">
        <v>7</v>
      </c>
    </row>
    <row r="135" spans="1:2" x14ac:dyDescent="0.3">
      <c r="A135" t="s">
        <v>154</v>
      </c>
      <c r="B135">
        <v>1</v>
      </c>
    </row>
    <row r="136" spans="1:2" x14ac:dyDescent="0.3">
      <c r="A136" t="s">
        <v>155</v>
      </c>
      <c r="B136">
        <v>1</v>
      </c>
    </row>
    <row r="137" spans="1:2" x14ac:dyDescent="0.3">
      <c r="A137" t="s">
        <v>156</v>
      </c>
      <c r="B137">
        <v>1</v>
      </c>
    </row>
    <row r="138" spans="1:2" x14ac:dyDescent="0.3">
      <c r="A138" t="s">
        <v>157</v>
      </c>
      <c r="B138">
        <v>1</v>
      </c>
    </row>
    <row r="139" spans="1:2" x14ac:dyDescent="0.3">
      <c r="A139" t="s">
        <v>158</v>
      </c>
      <c r="B139">
        <v>1</v>
      </c>
    </row>
    <row r="140" spans="1:2" x14ac:dyDescent="0.3">
      <c r="A140" t="s">
        <v>159</v>
      </c>
      <c r="B140">
        <v>1</v>
      </c>
    </row>
    <row r="141" spans="1:2" x14ac:dyDescent="0.3">
      <c r="A141" t="s">
        <v>160</v>
      </c>
      <c r="B141">
        <v>1</v>
      </c>
    </row>
    <row r="142" spans="1:2" x14ac:dyDescent="0.3">
      <c r="A142" t="s">
        <v>161</v>
      </c>
      <c r="B142">
        <v>1</v>
      </c>
    </row>
    <row r="143" spans="1:2" x14ac:dyDescent="0.3">
      <c r="A143" t="s">
        <v>162</v>
      </c>
      <c r="B143">
        <v>1</v>
      </c>
    </row>
    <row r="144" spans="1:2" x14ac:dyDescent="0.3">
      <c r="A144" t="s">
        <v>163</v>
      </c>
      <c r="B144">
        <v>1</v>
      </c>
    </row>
    <row r="145" spans="1:2" x14ac:dyDescent="0.3">
      <c r="A145" t="s">
        <v>164</v>
      </c>
      <c r="B145">
        <v>1</v>
      </c>
    </row>
    <row r="146" spans="1:2" x14ac:dyDescent="0.3">
      <c r="A146" t="s">
        <v>165</v>
      </c>
      <c r="B146">
        <v>1</v>
      </c>
    </row>
    <row r="147" spans="1:2" x14ac:dyDescent="0.3">
      <c r="A147" t="s">
        <v>166</v>
      </c>
      <c r="B147">
        <v>1</v>
      </c>
    </row>
    <row r="148" spans="1:2" x14ac:dyDescent="0.3">
      <c r="A148" t="s">
        <v>167</v>
      </c>
      <c r="B148">
        <v>1</v>
      </c>
    </row>
    <row r="149" spans="1:2" x14ac:dyDescent="0.3">
      <c r="A149" t="s">
        <v>168</v>
      </c>
      <c r="B149">
        <v>1</v>
      </c>
    </row>
    <row r="150" spans="1:2" x14ac:dyDescent="0.3">
      <c r="A150" t="s">
        <v>169</v>
      </c>
      <c r="B150">
        <v>1</v>
      </c>
    </row>
    <row r="151" spans="1:2" x14ac:dyDescent="0.3">
      <c r="A151" t="s">
        <v>170</v>
      </c>
      <c r="B151">
        <v>1</v>
      </c>
    </row>
    <row r="152" spans="1:2" x14ac:dyDescent="0.3">
      <c r="A152" t="s">
        <v>171</v>
      </c>
      <c r="B152">
        <v>1</v>
      </c>
    </row>
    <row r="153" spans="1:2" x14ac:dyDescent="0.3">
      <c r="A153" t="s">
        <v>172</v>
      </c>
      <c r="B153">
        <v>1</v>
      </c>
    </row>
    <row r="154" spans="1:2" x14ac:dyDescent="0.3">
      <c r="A154" t="s">
        <v>173</v>
      </c>
      <c r="B154">
        <v>1</v>
      </c>
    </row>
    <row r="155" spans="1:2" x14ac:dyDescent="0.3">
      <c r="A155" t="s">
        <v>174</v>
      </c>
      <c r="B155">
        <v>1</v>
      </c>
    </row>
    <row r="156" spans="1:2" x14ac:dyDescent="0.3">
      <c r="A156" t="s">
        <v>175</v>
      </c>
      <c r="B156">
        <v>1</v>
      </c>
    </row>
    <row r="157" spans="1:2" x14ac:dyDescent="0.3">
      <c r="A157" t="s">
        <v>176</v>
      </c>
      <c r="B157">
        <v>3</v>
      </c>
    </row>
    <row r="158" spans="1:2" x14ac:dyDescent="0.3">
      <c r="A158" t="s">
        <v>177</v>
      </c>
      <c r="B158">
        <v>2</v>
      </c>
    </row>
    <row r="159" spans="1:2" x14ac:dyDescent="0.3">
      <c r="A159" t="s">
        <v>178</v>
      </c>
      <c r="B159">
        <v>1</v>
      </c>
    </row>
    <row r="160" spans="1:2" x14ac:dyDescent="0.3">
      <c r="A160" t="s">
        <v>179</v>
      </c>
      <c r="B160">
        <v>1</v>
      </c>
    </row>
    <row r="161" spans="1:2" x14ac:dyDescent="0.3">
      <c r="A161" t="s">
        <v>180</v>
      </c>
      <c r="B161">
        <v>2</v>
      </c>
    </row>
    <row r="162" spans="1:2" x14ac:dyDescent="0.3">
      <c r="A162" t="s">
        <v>181</v>
      </c>
      <c r="B162">
        <v>4</v>
      </c>
    </row>
    <row r="163" spans="1:2" x14ac:dyDescent="0.3">
      <c r="A163" t="s">
        <v>182</v>
      </c>
      <c r="B163">
        <v>2</v>
      </c>
    </row>
    <row r="164" spans="1:2" x14ac:dyDescent="0.3">
      <c r="A164" t="s">
        <v>183</v>
      </c>
      <c r="B164">
        <v>2</v>
      </c>
    </row>
    <row r="165" spans="1:2" x14ac:dyDescent="0.3">
      <c r="A165" t="s">
        <v>184</v>
      </c>
      <c r="B165">
        <v>1</v>
      </c>
    </row>
    <row r="166" spans="1:2" x14ac:dyDescent="0.3">
      <c r="A166" t="s">
        <v>185</v>
      </c>
      <c r="B166">
        <v>1</v>
      </c>
    </row>
    <row r="167" spans="1:2" x14ac:dyDescent="0.3">
      <c r="A167" t="s">
        <v>186</v>
      </c>
      <c r="B167">
        <v>1</v>
      </c>
    </row>
    <row r="168" spans="1:2" x14ac:dyDescent="0.3">
      <c r="A168" t="s">
        <v>187</v>
      </c>
      <c r="B168">
        <v>1</v>
      </c>
    </row>
    <row r="169" spans="1:2" x14ac:dyDescent="0.3">
      <c r="A169" t="s">
        <v>188</v>
      </c>
      <c r="B169">
        <v>1</v>
      </c>
    </row>
    <row r="170" spans="1:2" x14ac:dyDescent="0.3">
      <c r="A170" t="s">
        <v>189</v>
      </c>
      <c r="B170">
        <v>4</v>
      </c>
    </row>
    <row r="171" spans="1:2" x14ac:dyDescent="0.3">
      <c r="A171" t="s">
        <v>190</v>
      </c>
      <c r="B171">
        <v>1</v>
      </c>
    </row>
    <row r="172" spans="1:2" x14ac:dyDescent="0.3">
      <c r="A172" t="s">
        <v>191</v>
      </c>
      <c r="B172">
        <v>1</v>
      </c>
    </row>
    <row r="173" spans="1:2" x14ac:dyDescent="0.3">
      <c r="A173" t="s">
        <v>192</v>
      </c>
      <c r="B173">
        <v>1</v>
      </c>
    </row>
    <row r="174" spans="1:2" x14ac:dyDescent="0.3">
      <c r="A174" t="s">
        <v>193</v>
      </c>
      <c r="B174">
        <v>2</v>
      </c>
    </row>
    <row r="175" spans="1:2" x14ac:dyDescent="0.3">
      <c r="A175" t="s">
        <v>194</v>
      </c>
      <c r="B175">
        <v>1</v>
      </c>
    </row>
    <row r="176" spans="1:2" x14ac:dyDescent="0.3">
      <c r="A176" t="s">
        <v>195</v>
      </c>
      <c r="B176">
        <v>2</v>
      </c>
    </row>
    <row r="177" spans="1:2" x14ac:dyDescent="0.3">
      <c r="A177" t="s">
        <v>196</v>
      </c>
      <c r="B177">
        <v>2</v>
      </c>
    </row>
    <row r="178" spans="1:2" x14ac:dyDescent="0.3">
      <c r="A178" t="s">
        <v>197</v>
      </c>
      <c r="B178">
        <v>3</v>
      </c>
    </row>
    <row r="179" spans="1:2" x14ac:dyDescent="0.3">
      <c r="A179" t="s">
        <v>198</v>
      </c>
      <c r="B179">
        <v>2</v>
      </c>
    </row>
    <row r="180" spans="1:2" x14ac:dyDescent="0.3">
      <c r="A180" t="s">
        <v>199</v>
      </c>
      <c r="B180">
        <v>1</v>
      </c>
    </row>
    <row r="181" spans="1:2" x14ac:dyDescent="0.3">
      <c r="A181" t="s">
        <v>200</v>
      </c>
      <c r="B181">
        <v>2</v>
      </c>
    </row>
    <row r="182" spans="1:2" x14ac:dyDescent="0.3">
      <c r="A182" t="s">
        <v>201</v>
      </c>
      <c r="B182">
        <v>1</v>
      </c>
    </row>
    <row r="183" spans="1:2" x14ac:dyDescent="0.3">
      <c r="A183" t="s">
        <v>202</v>
      </c>
      <c r="B183">
        <v>1</v>
      </c>
    </row>
    <row r="184" spans="1:2" x14ac:dyDescent="0.3">
      <c r="A184" t="s">
        <v>203</v>
      </c>
      <c r="B184">
        <v>1</v>
      </c>
    </row>
    <row r="185" spans="1:2" x14ac:dyDescent="0.3">
      <c r="A185" t="s">
        <v>204</v>
      </c>
      <c r="B185">
        <v>1</v>
      </c>
    </row>
    <row r="186" spans="1:2" x14ac:dyDescent="0.3">
      <c r="A186" t="s">
        <v>205</v>
      </c>
      <c r="B186">
        <v>2</v>
      </c>
    </row>
    <row r="187" spans="1:2" x14ac:dyDescent="0.3">
      <c r="A187" t="s">
        <v>206</v>
      </c>
      <c r="B187">
        <v>1</v>
      </c>
    </row>
    <row r="188" spans="1:2" x14ac:dyDescent="0.3">
      <c r="A188" t="s">
        <v>207</v>
      </c>
      <c r="B188">
        <v>1</v>
      </c>
    </row>
    <row r="189" spans="1:2" x14ac:dyDescent="0.3">
      <c r="A189" t="s">
        <v>208</v>
      </c>
      <c r="B189">
        <v>1</v>
      </c>
    </row>
    <row r="190" spans="1:2" x14ac:dyDescent="0.3">
      <c r="A190" t="s">
        <v>209</v>
      </c>
      <c r="B190">
        <v>6</v>
      </c>
    </row>
    <row r="191" spans="1:2" x14ac:dyDescent="0.3">
      <c r="A191" t="s">
        <v>210</v>
      </c>
      <c r="B191">
        <v>2</v>
      </c>
    </row>
    <row r="192" spans="1:2" x14ac:dyDescent="0.3">
      <c r="A192" t="s">
        <v>211</v>
      </c>
      <c r="B192">
        <v>1</v>
      </c>
    </row>
    <row r="193" spans="1:2" x14ac:dyDescent="0.3">
      <c r="A193" t="s">
        <v>212</v>
      </c>
      <c r="B193">
        <v>1</v>
      </c>
    </row>
    <row r="194" spans="1:2" x14ac:dyDescent="0.3">
      <c r="A194" t="s">
        <v>213</v>
      </c>
      <c r="B194">
        <v>1</v>
      </c>
    </row>
    <row r="195" spans="1:2" x14ac:dyDescent="0.3">
      <c r="A195" t="s">
        <v>214</v>
      </c>
      <c r="B195">
        <v>3</v>
      </c>
    </row>
    <row r="196" spans="1:2" x14ac:dyDescent="0.3">
      <c r="A196" t="s">
        <v>215</v>
      </c>
      <c r="B196">
        <v>5</v>
      </c>
    </row>
    <row r="197" spans="1:2" x14ac:dyDescent="0.3">
      <c r="A197" t="s">
        <v>216</v>
      </c>
      <c r="B197">
        <v>4</v>
      </c>
    </row>
    <row r="198" spans="1:2" x14ac:dyDescent="0.3">
      <c r="A198" t="s">
        <v>217</v>
      </c>
      <c r="B198">
        <v>3</v>
      </c>
    </row>
    <row r="199" spans="1:2" x14ac:dyDescent="0.3">
      <c r="A199" t="s">
        <v>218</v>
      </c>
      <c r="B199">
        <v>2</v>
      </c>
    </row>
    <row r="200" spans="1:2" x14ac:dyDescent="0.3">
      <c r="A200" t="s">
        <v>219</v>
      </c>
      <c r="B200">
        <v>5</v>
      </c>
    </row>
    <row r="201" spans="1:2" x14ac:dyDescent="0.3">
      <c r="A201" t="s">
        <v>220</v>
      </c>
      <c r="B201">
        <v>1</v>
      </c>
    </row>
    <row r="202" spans="1:2" x14ac:dyDescent="0.3">
      <c r="A202" t="s">
        <v>221</v>
      </c>
      <c r="B202">
        <v>1</v>
      </c>
    </row>
    <row r="203" spans="1:2" x14ac:dyDescent="0.3">
      <c r="A203" t="s">
        <v>222</v>
      </c>
      <c r="B203">
        <v>1</v>
      </c>
    </row>
    <row r="204" spans="1:2" x14ac:dyDescent="0.3">
      <c r="A204" t="s">
        <v>223</v>
      </c>
      <c r="B204">
        <v>1</v>
      </c>
    </row>
    <row r="205" spans="1:2" x14ac:dyDescent="0.3">
      <c r="A205" t="s">
        <v>224</v>
      </c>
      <c r="B205">
        <v>1</v>
      </c>
    </row>
    <row r="206" spans="1:2" x14ac:dyDescent="0.3">
      <c r="A206" t="s">
        <v>225</v>
      </c>
      <c r="B206">
        <v>1</v>
      </c>
    </row>
    <row r="207" spans="1:2" x14ac:dyDescent="0.3">
      <c r="A207" t="s">
        <v>226</v>
      </c>
      <c r="B207">
        <v>1</v>
      </c>
    </row>
    <row r="208" spans="1:2" x14ac:dyDescent="0.3">
      <c r="A208" t="s">
        <v>227</v>
      </c>
      <c r="B208">
        <v>46</v>
      </c>
    </row>
    <row r="209" spans="1:2" x14ac:dyDescent="0.3">
      <c r="A209" t="s">
        <v>228</v>
      </c>
      <c r="B209">
        <v>27</v>
      </c>
    </row>
    <row r="210" spans="1:2" x14ac:dyDescent="0.3">
      <c r="A210" t="s">
        <v>229</v>
      </c>
      <c r="B210">
        <v>36</v>
      </c>
    </row>
    <row r="211" spans="1:2" x14ac:dyDescent="0.3">
      <c r="A211" t="s">
        <v>230</v>
      </c>
      <c r="B211">
        <v>23</v>
      </c>
    </row>
    <row r="212" spans="1:2" x14ac:dyDescent="0.3">
      <c r="A212" t="s">
        <v>231</v>
      </c>
      <c r="B212">
        <v>18</v>
      </c>
    </row>
    <row r="213" spans="1:2" x14ac:dyDescent="0.3">
      <c r="A213" t="s">
        <v>232</v>
      </c>
      <c r="B213">
        <v>11</v>
      </c>
    </row>
    <row r="214" spans="1:2" x14ac:dyDescent="0.3">
      <c r="A214" t="s">
        <v>233</v>
      </c>
      <c r="B214">
        <v>8</v>
      </c>
    </row>
    <row r="215" spans="1:2" x14ac:dyDescent="0.3">
      <c r="A215" t="s">
        <v>234</v>
      </c>
      <c r="B215">
        <v>6</v>
      </c>
    </row>
    <row r="216" spans="1:2" x14ac:dyDescent="0.3">
      <c r="A216" t="s">
        <v>235</v>
      </c>
      <c r="B216">
        <v>6</v>
      </c>
    </row>
    <row r="217" spans="1:2" x14ac:dyDescent="0.3">
      <c r="A217" t="s">
        <v>236</v>
      </c>
      <c r="B217">
        <v>4</v>
      </c>
    </row>
    <row r="218" spans="1:2" x14ac:dyDescent="0.3">
      <c r="A218" t="s">
        <v>237</v>
      </c>
      <c r="B218">
        <v>4</v>
      </c>
    </row>
    <row r="219" spans="1:2" x14ac:dyDescent="0.3">
      <c r="A219" t="s">
        <v>238</v>
      </c>
      <c r="B219">
        <v>3</v>
      </c>
    </row>
    <row r="220" spans="1:2" x14ac:dyDescent="0.3">
      <c r="A220" t="s">
        <v>239</v>
      </c>
      <c r="B220">
        <v>3</v>
      </c>
    </row>
    <row r="221" spans="1:2" x14ac:dyDescent="0.3">
      <c r="A221" t="s">
        <v>240</v>
      </c>
      <c r="B221">
        <v>3</v>
      </c>
    </row>
    <row r="222" spans="1:2" x14ac:dyDescent="0.3">
      <c r="A222" t="s">
        <v>241</v>
      </c>
      <c r="B222">
        <v>2</v>
      </c>
    </row>
    <row r="223" spans="1:2" x14ac:dyDescent="0.3">
      <c r="A223" t="s">
        <v>242</v>
      </c>
      <c r="B223">
        <v>2</v>
      </c>
    </row>
    <row r="224" spans="1:2" x14ac:dyDescent="0.3">
      <c r="A224" t="s">
        <v>243</v>
      </c>
      <c r="B224">
        <v>2</v>
      </c>
    </row>
    <row r="225" spans="1:2" x14ac:dyDescent="0.3">
      <c r="A225" t="s">
        <v>244</v>
      </c>
      <c r="B225">
        <v>2</v>
      </c>
    </row>
    <row r="226" spans="1:2" x14ac:dyDescent="0.3">
      <c r="A226" t="s">
        <v>245</v>
      </c>
      <c r="B226">
        <v>1</v>
      </c>
    </row>
    <row r="227" spans="1:2" x14ac:dyDescent="0.3">
      <c r="A227" t="s">
        <v>246</v>
      </c>
      <c r="B227">
        <v>1</v>
      </c>
    </row>
    <row r="228" spans="1:2" x14ac:dyDescent="0.3">
      <c r="A228" t="s">
        <v>247</v>
      </c>
      <c r="B228">
        <v>1</v>
      </c>
    </row>
    <row r="229" spans="1:2" x14ac:dyDescent="0.3">
      <c r="A229" t="s">
        <v>248</v>
      </c>
      <c r="B229">
        <v>1</v>
      </c>
    </row>
    <row r="230" spans="1:2" x14ac:dyDescent="0.3">
      <c r="A230" t="s">
        <v>249</v>
      </c>
      <c r="B230">
        <v>1</v>
      </c>
    </row>
    <row r="231" spans="1:2" x14ac:dyDescent="0.3">
      <c r="A231" t="s">
        <v>250</v>
      </c>
      <c r="B231">
        <v>1</v>
      </c>
    </row>
    <row r="232" spans="1:2" x14ac:dyDescent="0.3">
      <c r="A232" t="s">
        <v>251</v>
      </c>
      <c r="B232">
        <v>1</v>
      </c>
    </row>
    <row r="233" spans="1:2" x14ac:dyDescent="0.3">
      <c r="A233" t="s">
        <v>252</v>
      </c>
      <c r="B233">
        <v>1</v>
      </c>
    </row>
    <row r="234" spans="1:2" x14ac:dyDescent="0.3">
      <c r="A234" t="s">
        <v>253</v>
      </c>
      <c r="B234">
        <v>1</v>
      </c>
    </row>
    <row r="235" spans="1:2" x14ac:dyDescent="0.3">
      <c r="A235" t="s">
        <v>254</v>
      </c>
      <c r="B235">
        <v>1</v>
      </c>
    </row>
    <row r="236" spans="1:2" x14ac:dyDescent="0.3">
      <c r="A236" t="s">
        <v>255</v>
      </c>
      <c r="B236">
        <v>1</v>
      </c>
    </row>
    <row r="237" spans="1:2" x14ac:dyDescent="0.3">
      <c r="A237" t="s">
        <v>256</v>
      </c>
      <c r="B237">
        <v>1</v>
      </c>
    </row>
    <row r="238" spans="1:2" x14ac:dyDescent="0.3">
      <c r="A238" t="s">
        <v>257</v>
      </c>
      <c r="B238">
        <v>1</v>
      </c>
    </row>
    <row r="239" spans="1:2" x14ac:dyDescent="0.3">
      <c r="A239" t="s">
        <v>258</v>
      </c>
      <c r="B239">
        <v>1</v>
      </c>
    </row>
    <row r="240" spans="1:2" x14ac:dyDescent="0.3">
      <c r="A240" t="s">
        <v>259</v>
      </c>
      <c r="B240">
        <v>1</v>
      </c>
    </row>
    <row r="241" spans="1:2" x14ac:dyDescent="0.3">
      <c r="A241" t="s">
        <v>260</v>
      </c>
      <c r="B241">
        <v>1</v>
      </c>
    </row>
    <row r="242" spans="1:2" x14ac:dyDescent="0.3">
      <c r="A242" t="s">
        <v>261</v>
      </c>
      <c r="B242">
        <v>1</v>
      </c>
    </row>
    <row r="243" spans="1:2" x14ac:dyDescent="0.3">
      <c r="A243" t="s">
        <v>262</v>
      </c>
      <c r="B243">
        <v>1</v>
      </c>
    </row>
    <row r="244" spans="1:2" x14ac:dyDescent="0.3">
      <c r="A244" t="s">
        <v>263</v>
      </c>
      <c r="B244">
        <v>1</v>
      </c>
    </row>
    <row r="245" spans="1:2" x14ac:dyDescent="0.3">
      <c r="A245" t="s">
        <v>264</v>
      </c>
      <c r="B245">
        <v>1</v>
      </c>
    </row>
    <row r="246" spans="1:2" x14ac:dyDescent="0.3">
      <c r="A246" t="s">
        <v>265</v>
      </c>
      <c r="B246">
        <v>1</v>
      </c>
    </row>
    <row r="247" spans="1:2" x14ac:dyDescent="0.3">
      <c r="A247" t="s">
        <v>266</v>
      </c>
      <c r="B247">
        <v>1</v>
      </c>
    </row>
    <row r="248" spans="1:2" x14ac:dyDescent="0.3">
      <c r="A248" t="s">
        <v>267</v>
      </c>
      <c r="B248">
        <v>1</v>
      </c>
    </row>
    <row r="249" spans="1:2" x14ac:dyDescent="0.3">
      <c r="A249" t="s">
        <v>268</v>
      </c>
      <c r="B249">
        <v>1</v>
      </c>
    </row>
    <row r="250" spans="1:2" x14ac:dyDescent="0.3">
      <c r="A250" t="s">
        <v>269</v>
      </c>
      <c r="B250">
        <v>1</v>
      </c>
    </row>
    <row r="251" spans="1:2" x14ac:dyDescent="0.3">
      <c r="A251" t="s">
        <v>270</v>
      </c>
      <c r="B251">
        <v>1</v>
      </c>
    </row>
    <row r="252" spans="1:2" x14ac:dyDescent="0.3">
      <c r="A252" t="s">
        <v>271</v>
      </c>
      <c r="B252">
        <v>1</v>
      </c>
    </row>
    <row r="253" spans="1:2" x14ac:dyDescent="0.3">
      <c r="A253" t="s">
        <v>272</v>
      </c>
      <c r="B253">
        <v>1</v>
      </c>
    </row>
    <row r="254" spans="1:2" x14ac:dyDescent="0.3">
      <c r="A254" t="s">
        <v>273</v>
      </c>
      <c r="B254">
        <v>1</v>
      </c>
    </row>
    <row r="255" spans="1:2" x14ac:dyDescent="0.3">
      <c r="A255" t="s">
        <v>274</v>
      </c>
      <c r="B255">
        <v>2</v>
      </c>
    </row>
    <row r="256" spans="1:2" x14ac:dyDescent="0.3">
      <c r="A256" t="s">
        <v>275</v>
      </c>
      <c r="B256">
        <v>1</v>
      </c>
    </row>
    <row r="257" spans="1:2" x14ac:dyDescent="0.3">
      <c r="A257" t="s">
        <v>276</v>
      </c>
      <c r="B257">
        <v>1</v>
      </c>
    </row>
    <row r="258" spans="1:2" x14ac:dyDescent="0.3">
      <c r="A258" t="s">
        <v>277</v>
      </c>
      <c r="B258">
        <v>29</v>
      </c>
    </row>
    <row r="259" spans="1:2" x14ac:dyDescent="0.3">
      <c r="A259" t="s">
        <v>278</v>
      </c>
      <c r="B259">
        <v>50</v>
      </c>
    </row>
    <row r="260" spans="1:2" x14ac:dyDescent="0.3">
      <c r="A260" t="s">
        <v>279</v>
      </c>
      <c r="B260">
        <v>7</v>
      </c>
    </row>
    <row r="261" spans="1:2" x14ac:dyDescent="0.3">
      <c r="A261" t="s">
        <v>280</v>
      </c>
      <c r="B261">
        <v>27</v>
      </c>
    </row>
    <row r="262" spans="1:2" x14ac:dyDescent="0.3">
      <c r="A262" t="s">
        <v>281</v>
      </c>
      <c r="B262">
        <v>1</v>
      </c>
    </row>
    <row r="263" spans="1:2" x14ac:dyDescent="0.3">
      <c r="A263" t="s">
        <v>282</v>
      </c>
      <c r="B263">
        <v>6</v>
      </c>
    </row>
    <row r="264" spans="1:2" x14ac:dyDescent="0.3">
      <c r="A264" t="s">
        <v>283</v>
      </c>
      <c r="B264">
        <v>1</v>
      </c>
    </row>
    <row r="265" spans="1:2" x14ac:dyDescent="0.3">
      <c r="A265" t="s">
        <v>284</v>
      </c>
      <c r="B265">
        <v>2</v>
      </c>
    </row>
    <row r="266" spans="1:2" x14ac:dyDescent="0.3">
      <c r="A266" t="s">
        <v>285</v>
      </c>
      <c r="B266">
        <v>1</v>
      </c>
    </row>
    <row r="267" spans="1:2" x14ac:dyDescent="0.3">
      <c r="A267" t="s">
        <v>286</v>
      </c>
      <c r="B267">
        <v>1</v>
      </c>
    </row>
    <row r="268" spans="1:2" x14ac:dyDescent="0.3">
      <c r="A268" t="s">
        <v>287</v>
      </c>
      <c r="B268">
        <v>5</v>
      </c>
    </row>
    <row r="269" spans="1:2" x14ac:dyDescent="0.3">
      <c r="A269" t="s">
        <v>288</v>
      </c>
      <c r="B269">
        <v>5</v>
      </c>
    </row>
    <row r="270" spans="1:2" x14ac:dyDescent="0.3">
      <c r="A270" t="s">
        <v>289</v>
      </c>
      <c r="B270">
        <v>36</v>
      </c>
    </row>
    <row r="271" spans="1:2" x14ac:dyDescent="0.3">
      <c r="A271" t="s">
        <v>290</v>
      </c>
      <c r="B271">
        <v>14</v>
      </c>
    </row>
    <row r="272" spans="1:2" x14ac:dyDescent="0.3">
      <c r="A272" t="s">
        <v>291</v>
      </c>
      <c r="B272">
        <v>19</v>
      </c>
    </row>
    <row r="273" spans="1:2" x14ac:dyDescent="0.3">
      <c r="A273" t="s">
        <v>292</v>
      </c>
      <c r="B273">
        <v>46</v>
      </c>
    </row>
    <row r="274" spans="1:2" x14ac:dyDescent="0.3">
      <c r="A274" t="s">
        <v>293</v>
      </c>
      <c r="B274">
        <v>64</v>
      </c>
    </row>
    <row r="275" spans="1:2" x14ac:dyDescent="0.3">
      <c r="A275" t="s">
        <v>294</v>
      </c>
      <c r="B275">
        <v>60</v>
      </c>
    </row>
    <row r="276" spans="1:2" x14ac:dyDescent="0.3">
      <c r="A276" t="s">
        <v>295</v>
      </c>
      <c r="B276">
        <v>12</v>
      </c>
    </row>
    <row r="277" spans="1:2" x14ac:dyDescent="0.3">
      <c r="A277" t="s">
        <v>296</v>
      </c>
      <c r="B277">
        <v>48</v>
      </c>
    </row>
    <row r="278" spans="1:2" x14ac:dyDescent="0.3">
      <c r="A278" t="s">
        <v>297</v>
      </c>
      <c r="B278">
        <v>18</v>
      </c>
    </row>
    <row r="279" spans="1:2" x14ac:dyDescent="0.3">
      <c r="A279" t="s">
        <v>298</v>
      </c>
      <c r="B279">
        <v>2</v>
      </c>
    </row>
    <row r="280" spans="1:2" x14ac:dyDescent="0.3">
      <c r="A280" t="s">
        <v>299</v>
      </c>
      <c r="B280">
        <v>1</v>
      </c>
    </row>
    <row r="281" spans="1:2" x14ac:dyDescent="0.3">
      <c r="A281" t="s">
        <v>300</v>
      </c>
      <c r="B281">
        <v>1</v>
      </c>
    </row>
    <row r="282" spans="1:2" x14ac:dyDescent="0.3">
      <c r="A282" t="s">
        <v>301</v>
      </c>
      <c r="B282">
        <v>1</v>
      </c>
    </row>
    <row r="283" spans="1:2" x14ac:dyDescent="0.3">
      <c r="A283" t="s">
        <v>302</v>
      </c>
      <c r="B283">
        <v>1</v>
      </c>
    </row>
    <row r="284" spans="1:2" x14ac:dyDescent="0.3">
      <c r="A284" t="s">
        <v>303</v>
      </c>
      <c r="B284">
        <v>1</v>
      </c>
    </row>
    <row r="285" spans="1:2" x14ac:dyDescent="0.3">
      <c r="A285" t="s">
        <v>304</v>
      </c>
      <c r="B285">
        <v>1</v>
      </c>
    </row>
    <row r="286" spans="1:2" x14ac:dyDescent="0.3">
      <c r="A286" t="s">
        <v>305</v>
      </c>
      <c r="B286">
        <v>1</v>
      </c>
    </row>
    <row r="287" spans="1:2" x14ac:dyDescent="0.3">
      <c r="A287" t="s">
        <v>306</v>
      </c>
      <c r="B287">
        <v>1</v>
      </c>
    </row>
    <row r="288" spans="1:2" x14ac:dyDescent="0.3">
      <c r="A288" t="s">
        <v>307</v>
      </c>
      <c r="B288">
        <v>1</v>
      </c>
    </row>
    <row r="289" spans="1:2" x14ac:dyDescent="0.3">
      <c r="A289" t="s">
        <v>308</v>
      </c>
      <c r="B289">
        <v>1</v>
      </c>
    </row>
    <row r="290" spans="1:2" x14ac:dyDescent="0.3">
      <c r="A290" t="s">
        <v>309</v>
      </c>
      <c r="B290">
        <v>1</v>
      </c>
    </row>
    <row r="291" spans="1:2" x14ac:dyDescent="0.3">
      <c r="A291" t="s">
        <v>310</v>
      </c>
      <c r="B291">
        <v>1</v>
      </c>
    </row>
    <row r="292" spans="1:2" x14ac:dyDescent="0.3">
      <c r="A292" t="s">
        <v>311</v>
      </c>
      <c r="B292">
        <v>1</v>
      </c>
    </row>
    <row r="293" spans="1:2" x14ac:dyDescent="0.3">
      <c r="A293" t="s">
        <v>312</v>
      </c>
      <c r="B293">
        <v>1</v>
      </c>
    </row>
    <row r="294" spans="1:2" x14ac:dyDescent="0.3">
      <c r="A294" t="s">
        <v>313</v>
      </c>
      <c r="B294">
        <v>2</v>
      </c>
    </row>
    <row r="295" spans="1:2" x14ac:dyDescent="0.3">
      <c r="A295" t="s">
        <v>314</v>
      </c>
      <c r="B295">
        <v>4</v>
      </c>
    </row>
    <row r="296" spans="1:2" x14ac:dyDescent="0.3">
      <c r="A296" t="s">
        <v>315</v>
      </c>
      <c r="B296">
        <v>2</v>
      </c>
    </row>
    <row r="297" spans="1:2" x14ac:dyDescent="0.3">
      <c r="A297" t="s">
        <v>316</v>
      </c>
      <c r="B297">
        <v>4</v>
      </c>
    </row>
    <row r="298" spans="1:2" x14ac:dyDescent="0.3">
      <c r="A298" t="s">
        <v>317</v>
      </c>
      <c r="B298">
        <v>2</v>
      </c>
    </row>
    <row r="299" spans="1:2" x14ac:dyDescent="0.3">
      <c r="A299" t="s">
        <v>318</v>
      </c>
      <c r="B299">
        <v>1</v>
      </c>
    </row>
    <row r="300" spans="1:2" x14ac:dyDescent="0.3">
      <c r="A300" t="s">
        <v>319</v>
      </c>
      <c r="B300">
        <v>1</v>
      </c>
    </row>
    <row r="301" spans="1:2" x14ac:dyDescent="0.3">
      <c r="A301" t="s">
        <v>320</v>
      </c>
      <c r="B301">
        <v>3</v>
      </c>
    </row>
    <row r="302" spans="1:2" x14ac:dyDescent="0.3">
      <c r="A302" t="s">
        <v>321</v>
      </c>
      <c r="B302">
        <v>1</v>
      </c>
    </row>
    <row r="303" spans="1:2" x14ac:dyDescent="0.3">
      <c r="A303" t="s">
        <v>322</v>
      </c>
      <c r="B303">
        <v>28</v>
      </c>
    </row>
    <row r="304" spans="1:2" x14ac:dyDescent="0.3">
      <c r="A304" t="s">
        <v>323</v>
      </c>
      <c r="B304">
        <v>1</v>
      </c>
    </row>
    <row r="305" spans="1:2" x14ac:dyDescent="0.3">
      <c r="A305" t="s">
        <v>324</v>
      </c>
      <c r="B305">
        <v>2</v>
      </c>
    </row>
    <row r="306" spans="1:2" x14ac:dyDescent="0.3">
      <c r="A306" t="s">
        <v>325</v>
      </c>
      <c r="B306">
        <v>1</v>
      </c>
    </row>
    <row r="307" spans="1:2" x14ac:dyDescent="0.3">
      <c r="A307" t="s">
        <v>326</v>
      </c>
      <c r="B307">
        <v>4</v>
      </c>
    </row>
    <row r="308" spans="1:2" x14ac:dyDescent="0.3">
      <c r="A308" t="s">
        <v>327</v>
      </c>
      <c r="B308">
        <v>1</v>
      </c>
    </row>
  </sheetData>
  <sortState xmlns:xlrd2="http://schemas.microsoft.com/office/spreadsheetml/2017/richdata2" ref="H3:I13">
    <sortCondition descending="1" ref="I3:I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N10</vt:lpstr>
      <vt:lpstr>Thr5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김성용</dc:creator>
  <cp:lastModifiedBy>김성용</cp:lastModifiedBy>
  <dcterms:created xsi:type="dcterms:W3CDTF">2024-12-02T02:33:52Z</dcterms:created>
  <dcterms:modified xsi:type="dcterms:W3CDTF">2026-05-15T04:51:07Z</dcterms:modified>
</cp:coreProperties>
</file>