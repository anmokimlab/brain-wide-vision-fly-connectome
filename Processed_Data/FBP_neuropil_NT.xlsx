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nectome\사용 그림\V9\Figure3\"/>
    </mc:Choice>
  </mc:AlternateContent>
  <xr:revisionPtr revIDLastSave="0" documentId="13_ncr:1_{E83852CC-1DE4-4F0F-8951-8ABA2088198A}" xr6:coauthVersionLast="47" xr6:coauthVersionMax="47" xr10:uidLastSave="{00000000-0000-0000-0000-000000000000}"/>
  <bookViews>
    <workbookView xWindow="0" yWindow="360" windowWidth="29040" windowHeight="15720" activeTab="1" xr2:uid="{4C3A26E4-5BAF-4190-9860-111457B0A583}"/>
  </bookViews>
  <sheets>
    <sheet name="Sheet1" sheetId="1" r:id="rId1"/>
    <sheet name="Thr5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3" l="1"/>
  <c r="M9" i="3"/>
  <c r="L9" i="3"/>
  <c r="K9" i="3"/>
  <c r="J9" i="3"/>
  <c r="I9" i="3"/>
  <c r="H9" i="3"/>
  <c r="G9" i="3"/>
  <c r="F9" i="3"/>
  <c r="E9" i="3"/>
  <c r="D9" i="3"/>
  <c r="C9" i="3"/>
  <c r="B9" i="3"/>
  <c r="M9" i="1"/>
  <c r="N9" i="1"/>
  <c r="G1" i="2" l="1"/>
  <c r="I1" i="2" s="1"/>
  <c r="C1" i="2"/>
  <c r="G7" i="2"/>
  <c r="G6" i="2"/>
  <c r="G5" i="2"/>
  <c r="G4" i="2"/>
  <c r="G3" i="2"/>
  <c r="G2" i="2"/>
  <c r="B9" i="1"/>
  <c r="C9" i="1"/>
  <c r="D9" i="1"/>
  <c r="E9" i="1"/>
  <c r="F9" i="1"/>
  <c r="G9" i="1"/>
  <c r="H9" i="1"/>
  <c r="I9" i="1"/>
  <c r="J9" i="1"/>
  <c r="K9" i="1"/>
  <c r="L9" i="1"/>
</calcChain>
</file>

<file path=xl/sharedStrings.xml><?xml version="1.0" encoding="utf-8"?>
<sst xmlns="http://schemas.openxmlformats.org/spreadsheetml/2006/main" count="150" uniqueCount="130">
  <si>
    <t>Me</t>
    <phoneticPr fontId="1" type="noConversion"/>
  </si>
  <si>
    <t>Lo</t>
    <phoneticPr fontId="1" type="noConversion"/>
  </si>
  <si>
    <t>LoP</t>
    <phoneticPr fontId="1" type="noConversion"/>
  </si>
  <si>
    <t>PLP</t>
    <phoneticPr fontId="1" type="noConversion"/>
  </si>
  <si>
    <t>PVLP</t>
    <phoneticPr fontId="1" type="noConversion"/>
  </si>
  <si>
    <t>SPS</t>
    <phoneticPr fontId="1" type="noConversion"/>
  </si>
  <si>
    <t>IPS</t>
    <phoneticPr fontId="1" type="noConversion"/>
  </si>
  <si>
    <t>ACH</t>
    <phoneticPr fontId="1" type="noConversion"/>
  </si>
  <si>
    <t>DA</t>
    <phoneticPr fontId="1" type="noConversion"/>
  </si>
  <si>
    <t>GABA</t>
    <phoneticPr fontId="1" type="noConversion"/>
  </si>
  <si>
    <t>GLUT</t>
    <phoneticPr fontId="1" type="noConversion"/>
  </si>
  <si>
    <t>OCT</t>
    <phoneticPr fontId="1" type="noConversion"/>
  </si>
  <si>
    <t>SER</t>
    <phoneticPr fontId="1" type="noConversion"/>
  </si>
  <si>
    <t>GNG</t>
    <phoneticPr fontId="1" type="noConversion"/>
  </si>
  <si>
    <t>WED</t>
    <phoneticPr fontId="1" type="noConversion"/>
  </si>
  <si>
    <t>SAD</t>
    <phoneticPr fontId="1" type="noConversion"/>
  </si>
  <si>
    <t>'AN_multi_125'</t>
  </si>
  <si>
    <t>'AVLP151'</t>
  </si>
  <si>
    <t>'DCH'</t>
  </si>
  <si>
    <t>'DN1a'</t>
  </si>
  <si>
    <t>'DNc02'</t>
  </si>
  <si>
    <t>'LPT53'</t>
  </si>
  <si>
    <t>'LPT57'</t>
  </si>
  <si>
    <t>'LPT58'</t>
  </si>
  <si>
    <t>'LT34'</t>
  </si>
  <si>
    <t>'LT36'</t>
  </si>
  <si>
    <t>'LT37'</t>
  </si>
  <si>
    <t>'LT38'</t>
  </si>
  <si>
    <t>'LT39'</t>
  </si>
  <si>
    <t>'LT40'</t>
  </si>
  <si>
    <t>'LT41'</t>
  </si>
  <si>
    <t>'LT42'</t>
  </si>
  <si>
    <t>'LT56'</t>
  </si>
  <si>
    <t>'LT70'</t>
  </si>
  <si>
    <t>'LatB'</t>
  </si>
  <si>
    <t>'OA-AL2b1'</t>
  </si>
  <si>
    <t>'OA-AL2b2'</t>
  </si>
  <si>
    <t>'OA-AL2i1'</t>
  </si>
  <si>
    <t>'OA-AL2i2'</t>
  </si>
  <si>
    <t>'OA-AL2i3'</t>
  </si>
  <si>
    <t>'OA-AL2i4'</t>
  </si>
  <si>
    <t>'OA-ASM1'</t>
  </si>
  <si>
    <t>'VCH'</t>
  </si>
  <si>
    <t>'aMe17a1'</t>
  </si>
  <si>
    <t>'aMe17a2'</t>
  </si>
  <si>
    <t>'aMe17b'</t>
  </si>
  <si>
    <t>'aMe17c'</t>
  </si>
  <si>
    <t>'aMe4'</t>
  </si>
  <si>
    <t>'cL01'</t>
  </si>
  <si>
    <t>'cL02a'</t>
  </si>
  <si>
    <t>'cL02b'</t>
  </si>
  <si>
    <t>'cL02c'</t>
  </si>
  <si>
    <t>'cL02d'</t>
  </si>
  <si>
    <t>'cL03'</t>
  </si>
  <si>
    <t>'cL04'</t>
  </si>
  <si>
    <t>'cL05'</t>
  </si>
  <si>
    <t>'cL06'</t>
  </si>
  <si>
    <t>'cL07'</t>
  </si>
  <si>
    <t>'cL08'</t>
  </si>
  <si>
    <t>'cL09'</t>
  </si>
  <si>
    <t>'cL10'</t>
  </si>
  <si>
    <t>'cL11'</t>
  </si>
  <si>
    <t>'cL12'</t>
  </si>
  <si>
    <t>'cL13'</t>
  </si>
  <si>
    <t>'cL14'</t>
  </si>
  <si>
    <t>'cL15'</t>
  </si>
  <si>
    <t>'cL17'</t>
  </si>
  <si>
    <t>'cL18'</t>
  </si>
  <si>
    <t>'cL20'</t>
  </si>
  <si>
    <t>'cL21'</t>
  </si>
  <si>
    <t>'cL22a'</t>
  </si>
  <si>
    <t>'cL22b'</t>
  </si>
  <si>
    <t>'cL22c'</t>
  </si>
  <si>
    <t>'cLLP02'</t>
  </si>
  <si>
    <t>'cLLPM01'</t>
  </si>
  <si>
    <t>'cLLPM02'</t>
  </si>
  <si>
    <t>'cLP01'</t>
  </si>
  <si>
    <t>'cLP02'</t>
  </si>
  <si>
    <t>'cLP03'</t>
  </si>
  <si>
    <t>'cLP04'</t>
  </si>
  <si>
    <t>'cLP05'</t>
  </si>
  <si>
    <t>'cLPL01'</t>
  </si>
  <si>
    <t>'cM01a'</t>
  </si>
  <si>
    <t>'cM01b'</t>
  </si>
  <si>
    <t>'cM01c'</t>
  </si>
  <si>
    <t>'cM02a'</t>
  </si>
  <si>
    <t>'cM02b'</t>
  </si>
  <si>
    <t>'cM03'</t>
  </si>
  <si>
    <t>'cM04'</t>
  </si>
  <si>
    <t>'cM05'</t>
  </si>
  <si>
    <t>'cM06'</t>
  </si>
  <si>
    <t>'cM08a'</t>
  </si>
  <si>
    <t>'cM08b'</t>
  </si>
  <si>
    <t>'cM08c'</t>
  </si>
  <si>
    <t>'cM09'</t>
  </si>
  <si>
    <t>'cM12'</t>
  </si>
  <si>
    <t>'cM13'</t>
  </si>
  <si>
    <t>'cM14'</t>
  </si>
  <si>
    <t>'cM15'</t>
  </si>
  <si>
    <t>'cM16'</t>
  </si>
  <si>
    <t>'cM17'</t>
  </si>
  <si>
    <t>'cM18'</t>
  </si>
  <si>
    <t>'cM19'</t>
  </si>
  <si>
    <t>'cML01'</t>
  </si>
  <si>
    <t>'cML02'</t>
  </si>
  <si>
    <t>'cMLLP01'</t>
  </si>
  <si>
    <t>'cMLLP02'</t>
  </si>
  <si>
    <t>'mALC3'</t>
  </si>
  <si>
    <t>'mALC4'</t>
  </si>
  <si>
    <t>'mALC5'</t>
  </si>
  <si>
    <t>'DNp30'</t>
  </si>
  <si>
    <t>'l-LNv'</t>
  </si>
  <si>
    <t>Others</t>
  </si>
  <si>
    <t>Others</t>
    <phoneticPr fontId="1" type="noConversion"/>
  </si>
  <si>
    <t>LT</t>
  </si>
  <si>
    <t>LT</t>
    <phoneticPr fontId="1" type="noConversion"/>
  </si>
  <si>
    <t>OA</t>
  </si>
  <si>
    <t>OA</t>
    <phoneticPr fontId="1" type="noConversion"/>
  </si>
  <si>
    <t>aMe</t>
  </si>
  <si>
    <t>aMe</t>
    <phoneticPr fontId="1" type="noConversion"/>
  </si>
  <si>
    <t>cL</t>
  </si>
  <si>
    <t>cL</t>
    <phoneticPr fontId="1" type="noConversion"/>
  </si>
  <si>
    <t>cLP</t>
  </si>
  <si>
    <t>cLP</t>
    <phoneticPr fontId="1" type="noConversion"/>
  </si>
  <si>
    <t>cM</t>
  </si>
  <si>
    <t>cM</t>
    <phoneticPr fontId="1" type="noConversion"/>
  </si>
  <si>
    <t>IB</t>
    <phoneticPr fontId="1" type="noConversion"/>
  </si>
  <si>
    <t>SPSL</t>
    <phoneticPr fontId="1" type="noConversion"/>
  </si>
  <si>
    <t>ICL</t>
    <phoneticPr fontId="1" type="noConversion"/>
  </si>
  <si>
    <t>Unidentified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</si>
</sst>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BADB0"/>
      <color rgb="FFE1A53E"/>
      <color rgb="FF793B8E"/>
      <color rgb="FF78A644"/>
      <color rgb="FF2173B3"/>
      <color rgb="FF962737"/>
      <color rgb="FFCF57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Sheet1!$B$1</c:f>
              <c:strCache>
                <c:ptCount val="1"/>
                <c:pt idx="0">
                  <c:v>Me</c:v>
                </c:pt>
              </c:strCache>
            </c:strRef>
          </c:tx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0AB4-422C-833A-16399313B35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0AB4-422C-833A-16399313B35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0AB4-422C-833A-16399313B35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0AB4-422C-833A-16399313B35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0AB4-422C-833A-16399313B35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0AB4-422C-833A-16399313B35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0AB4-422C-833A-16399313B359}"/>
              </c:ext>
            </c:extLst>
          </c:dPt>
          <c:cat>
            <c:strRef>
              <c:f>Sheet1!$A$2:$A$8</c:f>
              <c:strCache>
                <c:ptCount val="7"/>
                <c:pt idx="0">
                  <c:v>ACH</c:v>
                </c:pt>
                <c:pt idx="1">
                  <c:v>DA</c:v>
                </c:pt>
                <c:pt idx="2">
                  <c:v>GABA</c:v>
                </c:pt>
                <c:pt idx="3">
                  <c:v>GLUT</c:v>
                </c:pt>
                <c:pt idx="4">
                  <c:v>OCT</c:v>
                </c:pt>
                <c:pt idx="5">
                  <c:v>SER</c:v>
                </c:pt>
                <c:pt idx="6">
                  <c:v>Unidentified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30</c:v>
                </c:pt>
                <c:pt idx="1">
                  <c:v>3</c:v>
                </c:pt>
                <c:pt idx="2">
                  <c:v>22</c:v>
                </c:pt>
                <c:pt idx="3">
                  <c:v>15</c:v>
                </c:pt>
                <c:pt idx="4">
                  <c:v>7</c:v>
                </c:pt>
                <c:pt idx="5">
                  <c:v>10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AB4-422C-833A-16399313B359}"/>
            </c:ext>
          </c:extLst>
        </c:ser>
        <c:ser>
          <c:idx val="0"/>
          <c:order val="1"/>
          <c:tx>
            <c:strRef>
              <c:f>Sheet1!$B$1</c:f>
              <c:strCache>
                <c:ptCount val="1"/>
                <c:pt idx="0">
                  <c:v>Me</c:v>
                </c:pt>
              </c:strCache>
            </c:strRef>
          </c:tx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AB4-422C-833A-16399313B35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AB4-422C-833A-16399313B35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AB4-422C-833A-16399313B35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AB4-422C-833A-16399313B35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AB4-422C-833A-16399313B35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AB4-422C-833A-16399313B35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0AB4-422C-833A-16399313B359}"/>
              </c:ext>
            </c:extLst>
          </c:dPt>
          <c:cat>
            <c:strRef>
              <c:f>Sheet1!$A$2:$A$8</c:f>
              <c:strCache>
                <c:ptCount val="7"/>
                <c:pt idx="0">
                  <c:v>ACH</c:v>
                </c:pt>
                <c:pt idx="1">
                  <c:v>DA</c:v>
                </c:pt>
                <c:pt idx="2">
                  <c:v>GABA</c:v>
                </c:pt>
                <c:pt idx="3">
                  <c:v>GLUT</c:v>
                </c:pt>
                <c:pt idx="4">
                  <c:v>OCT</c:v>
                </c:pt>
                <c:pt idx="5">
                  <c:v>SER</c:v>
                </c:pt>
                <c:pt idx="6">
                  <c:v>Unidentified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30</c:v>
                </c:pt>
                <c:pt idx="1">
                  <c:v>3</c:v>
                </c:pt>
                <c:pt idx="2">
                  <c:v>22</c:v>
                </c:pt>
                <c:pt idx="3">
                  <c:v>15</c:v>
                </c:pt>
                <c:pt idx="4">
                  <c:v>7</c:v>
                </c:pt>
                <c:pt idx="5">
                  <c:v>10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AB4-422C-833A-16399313B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CD54-4D3D-85E1-56FEACB09497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CD54-4D3D-85E1-56FEACB09497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CD54-4D3D-85E1-56FEACB09497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CD54-4D3D-85E1-56FEACB09497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CD54-4D3D-85E1-56FEACB09497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CD54-4D3D-85E1-56FEACB09497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CD54-4D3D-85E1-56FEACB09497}"/>
              </c:ext>
            </c:extLst>
          </c:dPt>
          <c:val>
            <c:numRef>
              <c:f>Sheet1!$C$2:$C$8</c:f>
              <c:numCache>
                <c:formatCode>General</c:formatCode>
                <c:ptCount val="7"/>
                <c:pt idx="0">
                  <c:v>29</c:v>
                </c:pt>
                <c:pt idx="1">
                  <c:v>4</c:v>
                </c:pt>
                <c:pt idx="2">
                  <c:v>135</c:v>
                </c:pt>
                <c:pt idx="3">
                  <c:v>21</c:v>
                </c:pt>
                <c:pt idx="4">
                  <c:v>5</c:v>
                </c:pt>
                <c:pt idx="5">
                  <c:v>4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D54-4D3D-85E1-56FEACB09497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D54-4D3D-85E1-56FEACB09497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D54-4D3D-85E1-56FEACB09497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D54-4D3D-85E1-56FEACB09497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D54-4D3D-85E1-56FEACB09497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D54-4D3D-85E1-56FEACB09497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D54-4D3D-85E1-56FEACB09497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CD54-4D3D-85E1-56FEACB09497}"/>
              </c:ext>
            </c:extLst>
          </c:dPt>
          <c:val>
            <c:numRef>
              <c:f>Sheet1!$C$2:$C$8</c:f>
              <c:numCache>
                <c:formatCode>General</c:formatCode>
                <c:ptCount val="7"/>
                <c:pt idx="0">
                  <c:v>29</c:v>
                </c:pt>
                <c:pt idx="1">
                  <c:v>4</c:v>
                </c:pt>
                <c:pt idx="2">
                  <c:v>135</c:v>
                </c:pt>
                <c:pt idx="3">
                  <c:v>21</c:v>
                </c:pt>
                <c:pt idx="4">
                  <c:v>5</c:v>
                </c:pt>
                <c:pt idx="5">
                  <c:v>4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D54-4D3D-85E1-56FEACB09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1016-4C9D-AC07-1A169B6150CC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1016-4C9D-AC07-1A169B6150CC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1016-4C9D-AC07-1A169B6150CC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1016-4C9D-AC07-1A169B6150CC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1016-4C9D-AC07-1A169B6150CC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1016-4C9D-AC07-1A169B6150CC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1016-4C9D-AC07-1A169B6150CC}"/>
              </c:ext>
            </c:extLst>
          </c:dPt>
          <c:val>
            <c:numRef>
              <c:f>Sheet1!$D$2:$D$8</c:f>
              <c:numCache>
                <c:formatCode>General</c:formatCode>
                <c:ptCount val="7"/>
                <c:pt idx="0">
                  <c:v>9</c:v>
                </c:pt>
                <c:pt idx="1">
                  <c:v>4</c:v>
                </c:pt>
                <c:pt idx="2">
                  <c:v>101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16-4C9D-AC07-1A169B6150CC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016-4C9D-AC07-1A169B6150CC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016-4C9D-AC07-1A169B6150CC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016-4C9D-AC07-1A169B6150CC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016-4C9D-AC07-1A169B6150CC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016-4C9D-AC07-1A169B6150CC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016-4C9D-AC07-1A169B6150CC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016-4C9D-AC07-1A169B6150CC}"/>
              </c:ext>
            </c:extLst>
          </c:dPt>
          <c:val>
            <c:numRef>
              <c:f>Sheet1!$D$2:$D$8</c:f>
              <c:numCache>
                <c:formatCode>General</c:formatCode>
                <c:ptCount val="7"/>
                <c:pt idx="0">
                  <c:v>9</c:v>
                </c:pt>
                <c:pt idx="1">
                  <c:v>4</c:v>
                </c:pt>
                <c:pt idx="2">
                  <c:v>101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16-4C9D-AC07-1A169B615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F33B-4924-926A-D7B328B3FC4A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F33B-4924-926A-D7B328B3FC4A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F33B-4924-926A-D7B328B3FC4A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F33B-4924-926A-D7B328B3FC4A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F33B-4924-926A-D7B328B3FC4A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F33B-4924-926A-D7B328B3FC4A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F33B-4924-926A-D7B328B3FC4A}"/>
              </c:ext>
            </c:extLst>
          </c:dPt>
          <c:val>
            <c:numRef>
              <c:f>Sheet1!$E$2:$E$8</c:f>
              <c:numCache>
                <c:formatCode>General</c:formatCode>
                <c:ptCount val="7"/>
                <c:pt idx="0">
                  <c:v>32</c:v>
                </c:pt>
                <c:pt idx="1">
                  <c:v>3</c:v>
                </c:pt>
                <c:pt idx="2">
                  <c:v>118</c:v>
                </c:pt>
                <c:pt idx="3">
                  <c:v>19</c:v>
                </c:pt>
                <c:pt idx="4">
                  <c:v>8</c:v>
                </c:pt>
                <c:pt idx="5">
                  <c:v>2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33B-4924-926A-D7B328B3FC4A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33B-4924-926A-D7B328B3FC4A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33B-4924-926A-D7B328B3FC4A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33B-4924-926A-D7B328B3FC4A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33B-4924-926A-D7B328B3FC4A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33B-4924-926A-D7B328B3FC4A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33B-4924-926A-D7B328B3FC4A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33B-4924-926A-D7B328B3FC4A}"/>
              </c:ext>
            </c:extLst>
          </c:dPt>
          <c:val>
            <c:numRef>
              <c:f>Sheet1!$E$2:$E$8</c:f>
              <c:numCache>
                <c:formatCode>General</c:formatCode>
                <c:ptCount val="7"/>
                <c:pt idx="0">
                  <c:v>32</c:v>
                </c:pt>
                <c:pt idx="1">
                  <c:v>3</c:v>
                </c:pt>
                <c:pt idx="2">
                  <c:v>118</c:v>
                </c:pt>
                <c:pt idx="3">
                  <c:v>19</c:v>
                </c:pt>
                <c:pt idx="4">
                  <c:v>8</c:v>
                </c:pt>
                <c:pt idx="5">
                  <c:v>2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33B-4924-926A-D7B328B3F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E99F-4561-B41D-D4B73D36A30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E99F-4561-B41D-D4B73D36A30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E99F-4561-B41D-D4B73D36A30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E99F-4561-B41D-D4B73D36A30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E99F-4561-B41D-D4B73D36A30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E99F-4561-B41D-D4B73D36A30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E99F-4561-B41D-D4B73D36A309}"/>
              </c:ext>
            </c:extLst>
          </c:dPt>
          <c:val>
            <c:numRef>
              <c:f>Sheet1!$F$2:$F$8</c:f>
              <c:numCache>
                <c:formatCode>General</c:formatCode>
                <c:ptCount val="7"/>
                <c:pt idx="0">
                  <c:v>33</c:v>
                </c:pt>
                <c:pt idx="1">
                  <c:v>5</c:v>
                </c:pt>
                <c:pt idx="2">
                  <c:v>123</c:v>
                </c:pt>
                <c:pt idx="3">
                  <c:v>3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9F-4561-B41D-D4B73D36A309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99F-4561-B41D-D4B73D36A30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99F-4561-B41D-D4B73D36A30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99F-4561-B41D-D4B73D36A30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99F-4561-B41D-D4B73D36A30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99F-4561-B41D-D4B73D36A30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99F-4561-B41D-D4B73D36A30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99F-4561-B41D-D4B73D36A309}"/>
              </c:ext>
            </c:extLst>
          </c:dPt>
          <c:val>
            <c:numRef>
              <c:f>Sheet1!$F$2:$F$8</c:f>
              <c:numCache>
                <c:formatCode>General</c:formatCode>
                <c:ptCount val="7"/>
                <c:pt idx="0">
                  <c:v>33</c:v>
                </c:pt>
                <c:pt idx="1">
                  <c:v>5</c:v>
                </c:pt>
                <c:pt idx="2">
                  <c:v>123</c:v>
                </c:pt>
                <c:pt idx="3">
                  <c:v>3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9F-4561-B41D-D4B73D36A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8C60-46FD-B4FB-AEA2710BFF92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8C60-46FD-B4FB-AEA2710BFF92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8C60-46FD-B4FB-AEA2710BFF92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8C60-46FD-B4FB-AEA2710BFF92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8C60-46FD-B4FB-AEA2710BFF92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8C60-46FD-B4FB-AEA2710BFF92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8C60-46FD-B4FB-AEA2710BFF92}"/>
              </c:ext>
            </c:extLst>
          </c:dPt>
          <c:val>
            <c:numRef>
              <c:f>Sheet1!$G$2:$G$8</c:f>
              <c:numCache>
                <c:formatCode>General</c:formatCode>
                <c:ptCount val="7"/>
                <c:pt idx="0">
                  <c:v>39</c:v>
                </c:pt>
                <c:pt idx="1">
                  <c:v>5</c:v>
                </c:pt>
                <c:pt idx="2">
                  <c:v>113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C60-46FD-B4FB-AEA2710BFF92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C60-46FD-B4FB-AEA2710BFF92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C60-46FD-B4FB-AEA2710BFF92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C60-46FD-B4FB-AEA2710BFF92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C60-46FD-B4FB-AEA2710BFF92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C60-46FD-B4FB-AEA2710BFF92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C60-46FD-B4FB-AEA2710BFF92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C60-46FD-B4FB-AEA2710BFF92}"/>
              </c:ext>
            </c:extLst>
          </c:dPt>
          <c:val>
            <c:numRef>
              <c:f>Sheet1!$G$2:$G$8</c:f>
              <c:numCache>
                <c:formatCode>General</c:formatCode>
                <c:ptCount val="7"/>
                <c:pt idx="0">
                  <c:v>39</c:v>
                </c:pt>
                <c:pt idx="1">
                  <c:v>5</c:v>
                </c:pt>
                <c:pt idx="2">
                  <c:v>113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C60-46FD-B4FB-AEA2710BF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WED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F3F1-4FB5-BC56-7E8A9E6CA4F7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F3F1-4FB5-BC56-7E8A9E6CA4F7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F3F1-4FB5-BC56-7E8A9E6CA4F7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F3F1-4FB5-BC56-7E8A9E6CA4F7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F3F1-4FB5-BC56-7E8A9E6CA4F7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F3F1-4FB5-BC56-7E8A9E6CA4F7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F3F1-4FB5-BC56-7E8A9E6CA4F7}"/>
              </c:ext>
            </c:extLst>
          </c:dPt>
          <c:val>
            <c:numRef>
              <c:f>Sheet1!$H$2:$H$8</c:f>
              <c:numCache>
                <c:formatCode>General</c:formatCode>
                <c:ptCount val="7"/>
                <c:pt idx="0">
                  <c:v>11</c:v>
                </c:pt>
                <c:pt idx="1">
                  <c:v>2</c:v>
                </c:pt>
                <c:pt idx="2">
                  <c:v>74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3F1-4FB5-BC56-7E8A9E6CA4F7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3F1-4FB5-BC56-7E8A9E6CA4F7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3F1-4FB5-BC56-7E8A9E6CA4F7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3F1-4FB5-BC56-7E8A9E6CA4F7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3F1-4FB5-BC56-7E8A9E6CA4F7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3F1-4FB5-BC56-7E8A9E6CA4F7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3F1-4FB5-BC56-7E8A9E6CA4F7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3F1-4FB5-BC56-7E8A9E6CA4F7}"/>
              </c:ext>
            </c:extLst>
          </c:dPt>
          <c:val>
            <c:numRef>
              <c:f>Sheet1!$H$2:$H$8</c:f>
              <c:numCache>
                <c:formatCode>General</c:formatCode>
                <c:ptCount val="7"/>
                <c:pt idx="0">
                  <c:v>11</c:v>
                </c:pt>
                <c:pt idx="1">
                  <c:v>2</c:v>
                </c:pt>
                <c:pt idx="2">
                  <c:v>74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3F1-4FB5-BC56-7E8A9E6CA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PVLP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C14A-4772-BE1F-C022F859AAD1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C14A-4772-BE1F-C022F859AAD1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C14A-4772-BE1F-C022F859AAD1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C14A-4772-BE1F-C022F859AAD1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C14A-4772-BE1F-C022F859AAD1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C14A-4772-BE1F-C022F859AAD1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C14A-4772-BE1F-C022F859AAD1}"/>
              </c:ext>
            </c:extLst>
          </c:dPt>
          <c:val>
            <c:numRef>
              <c:f>Sheet1!$I$2:$I$8</c:f>
              <c:numCache>
                <c:formatCode>General</c:formatCode>
                <c:ptCount val="7"/>
                <c:pt idx="0">
                  <c:v>28</c:v>
                </c:pt>
                <c:pt idx="1">
                  <c:v>5</c:v>
                </c:pt>
                <c:pt idx="2">
                  <c:v>35</c:v>
                </c:pt>
                <c:pt idx="3">
                  <c:v>13</c:v>
                </c:pt>
                <c:pt idx="4">
                  <c:v>8</c:v>
                </c:pt>
                <c:pt idx="5">
                  <c:v>10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14A-4772-BE1F-C022F859AAD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14A-4772-BE1F-C022F859AAD1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14A-4772-BE1F-C022F859AAD1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14A-4772-BE1F-C022F859AAD1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14A-4772-BE1F-C022F859AAD1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14A-4772-BE1F-C022F859AAD1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14A-4772-BE1F-C022F859AAD1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C14A-4772-BE1F-C022F859AAD1}"/>
              </c:ext>
            </c:extLst>
          </c:dPt>
          <c:val>
            <c:numRef>
              <c:f>Sheet1!$I$2:$I$8</c:f>
              <c:numCache>
                <c:formatCode>General</c:formatCode>
                <c:ptCount val="7"/>
                <c:pt idx="0">
                  <c:v>28</c:v>
                </c:pt>
                <c:pt idx="1">
                  <c:v>5</c:v>
                </c:pt>
                <c:pt idx="2">
                  <c:v>35</c:v>
                </c:pt>
                <c:pt idx="3">
                  <c:v>13</c:v>
                </c:pt>
                <c:pt idx="4">
                  <c:v>8</c:v>
                </c:pt>
                <c:pt idx="5">
                  <c:v>10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14A-4772-BE1F-C022F859A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GNG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3E48-4534-8137-726A29509631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3E48-4534-8137-726A29509631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3E48-4534-8137-726A29509631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3E48-4534-8137-726A29509631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3E48-4534-8137-726A29509631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3E48-4534-8137-726A29509631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3E48-4534-8137-726A29509631}"/>
              </c:ext>
            </c:extLst>
          </c:dPt>
          <c:val>
            <c:numRef>
              <c:f>Sheet1!$J$2:$J$8</c:f>
              <c:numCache>
                <c:formatCode>General</c:formatCode>
                <c:ptCount val="7"/>
                <c:pt idx="0">
                  <c:v>27</c:v>
                </c:pt>
                <c:pt idx="1">
                  <c:v>3</c:v>
                </c:pt>
                <c:pt idx="2">
                  <c:v>41</c:v>
                </c:pt>
                <c:pt idx="3">
                  <c:v>3</c:v>
                </c:pt>
                <c:pt idx="4">
                  <c:v>8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E48-4534-8137-726A2950963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E48-4534-8137-726A29509631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E48-4534-8137-726A29509631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E48-4534-8137-726A29509631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E48-4534-8137-726A29509631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3E48-4534-8137-726A29509631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3E48-4534-8137-726A29509631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3E48-4534-8137-726A29509631}"/>
              </c:ext>
            </c:extLst>
          </c:dPt>
          <c:val>
            <c:numRef>
              <c:f>Sheet1!$J$2:$J$8</c:f>
              <c:numCache>
                <c:formatCode>General</c:formatCode>
                <c:ptCount val="7"/>
                <c:pt idx="0">
                  <c:v>27</c:v>
                </c:pt>
                <c:pt idx="1">
                  <c:v>3</c:v>
                </c:pt>
                <c:pt idx="2">
                  <c:v>41</c:v>
                </c:pt>
                <c:pt idx="3">
                  <c:v>3</c:v>
                </c:pt>
                <c:pt idx="4">
                  <c:v>8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E48-4534-8137-726A29509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SAD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43DC-498A-BD95-74F6F77244D1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43DC-498A-BD95-74F6F77244D1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43DC-498A-BD95-74F6F77244D1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43DC-498A-BD95-74F6F77244D1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43DC-498A-BD95-74F6F77244D1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43DC-498A-BD95-74F6F77244D1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43DC-498A-BD95-74F6F77244D1}"/>
              </c:ext>
            </c:extLst>
          </c:dPt>
          <c:val>
            <c:numRef>
              <c:f>Sheet1!$K$2:$K$8</c:f>
              <c:numCache>
                <c:formatCode>General</c:formatCode>
                <c:ptCount val="7"/>
                <c:pt idx="0">
                  <c:v>20</c:v>
                </c:pt>
                <c:pt idx="1">
                  <c:v>2</c:v>
                </c:pt>
                <c:pt idx="2">
                  <c:v>43</c:v>
                </c:pt>
                <c:pt idx="3">
                  <c:v>2</c:v>
                </c:pt>
                <c:pt idx="4">
                  <c:v>8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3DC-498A-BD95-74F6F77244D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3DC-498A-BD95-74F6F77244D1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3DC-498A-BD95-74F6F77244D1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3DC-498A-BD95-74F6F77244D1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3DC-498A-BD95-74F6F77244D1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43DC-498A-BD95-74F6F77244D1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3DC-498A-BD95-74F6F77244D1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43DC-498A-BD95-74F6F77244D1}"/>
              </c:ext>
            </c:extLst>
          </c:dPt>
          <c:val>
            <c:numRef>
              <c:f>Sheet1!$K$2:$K$8</c:f>
              <c:numCache>
                <c:formatCode>General</c:formatCode>
                <c:ptCount val="7"/>
                <c:pt idx="0">
                  <c:v>20</c:v>
                </c:pt>
                <c:pt idx="1">
                  <c:v>2</c:v>
                </c:pt>
                <c:pt idx="2">
                  <c:v>43</c:v>
                </c:pt>
                <c:pt idx="3">
                  <c:v>2</c:v>
                </c:pt>
                <c:pt idx="4">
                  <c:v>8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3DC-498A-BD95-74F6F7724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IB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F-8F7A-4D84-8926-68C664F68A94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20-8F7A-4D84-8926-68C664F68A94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21-8F7A-4D84-8926-68C664F68A94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22-8F7A-4D84-8926-68C664F68A94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23-8F7A-4D84-8926-68C664F68A94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24-8F7A-4D84-8926-68C664F68A94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25-8F7A-4D84-8926-68C664F68A94}"/>
              </c:ext>
            </c:extLst>
          </c:dPt>
          <c:val>
            <c:numRef>
              <c:f>Sheet1!$L$2:$L$8</c:f>
              <c:numCache>
                <c:formatCode>General</c:formatCode>
                <c:ptCount val="7"/>
                <c:pt idx="0">
                  <c:v>30</c:v>
                </c:pt>
                <c:pt idx="1">
                  <c:v>3</c:v>
                </c:pt>
                <c:pt idx="2">
                  <c:v>28</c:v>
                </c:pt>
                <c:pt idx="3">
                  <c:v>11</c:v>
                </c:pt>
                <c:pt idx="4">
                  <c:v>8</c:v>
                </c:pt>
                <c:pt idx="5">
                  <c:v>0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F7A-4D84-8926-68C664F68A94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F7A-4D84-8926-68C664F68A94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F7A-4D84-8926-68C664F68A94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F7A-4D84-8926-68C664F68A94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F7A-4D84-8926-68C664F68A94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F7A-4D84-8926-68C664F68A94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F7A-4D84-8926-68C664F68A94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F7A-4D84-8926-68C664F68A94}"/>
              </c:ext>
            </c:extLst>
          </c:dPt>
          <c:val>
            <c:numRef>
              <c:f>Sheet1!$L$2:$L$8</c:f>
              <c:numCache>
                <c:formatCode>General</c:formatCode>
                <c:ptCount val="7"/>
                <c:pt idx="0">
                  <c:v>30</c:v>
                </c:pt>
                <c:pt idx="1">
                  <c:v>3</c:v>
                </c:pt>
                <c:pt idx="2">
                  <c:v>28</c:v>
                </c:pt>
                <c:pt idx="3">
                  <c:v>11</c:v>
                </c:pt>
                <c:pt idx="4">
                  <c:v>8</c:v>
                </c:pt>
                <c:pt idx="5">
                  <c:v>0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F7A-4D84-8926-68C664F68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SPSL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6F3D-4943-ABFD-EC1798F2B778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1A-6F3D-4943-ABFD-EC1798F2B778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1B-6F3D-4943-ABFD-EC1798F2B778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1C-6F3D-4943-ABFD-EC1798F2B778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1D-6F3D-4943-ABFD-EC1798F2B778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1E-6F3D-4943-ABFD-EC1798F2B778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1F-6F3D-4943-ABFD-EC1798F2B778}"/>
              </c:ext>
            </c:extLst>
          </c:dPt>
          <c:val>
            <c:numRef>
              <c:f>Sheet1!$M$2:$M$8</c:f>
              <c:numCache>
                <c:formatCode>General</c:formatCode>
                <c:ptCount val="7"/>
                <c:pt idx="0">
                  <c:v>24</c:v>
                </c:pt>
                <c:pt idx="1">
                  <c:v>4</c:v>
                </c:pt>
                <c:pt idx="2">
                  <c:v>25</c:v>
                </c:pt>
                <c:pt idx="3">
                  <c:v>11</c:v>
                </c:pt>
                <c:pt idx="4">
                  <c:v>7</c:v>
                </c:pt>
                <c:pt idx="5">
                  <c:v>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D-4943-ABFD-EC1798F2B778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F3D-4943-ABFD-EC1798F2B778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F3D-4943-ABFD-EC1798F2B778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F3D-4943-ABFD-EC1798F2B778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6F3D-4943-ABFD-EC1798F2B778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6F3D-4943-ABFD-EC1798F2B778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F3D-4943-ABFD-EC1798F2B778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6F3D-4943-ABFD-EC1798F2B778}"/>
              </c:ext>
            </c:extLst>
          </c:dPt>
          <c:val>
            <c:numRef>
              <c:f>Sheet1!$M$2:$M$8</c:f>
              <c:numCache>
                <c:formatCode>General</c:formatCode>
                <c:ptCount val="7"/>
                <c:pt idx="0">
                  <c:v>24</c:v>
                </c:pt>
                <c:pt idx="1">
                  <c:v>4</c:v>
                </c:pt>
                <c:pt idx="2">
                  <c:v>25</c:v>
                </c:pt>
                <c:pt idx="3">
                  <c:v>11</c:v>
                </c:pt>
                <c:pt idx="4">
                  <c:v>7</c:v>
                </c:pt>
                <c:pt idx="5">
                  <c:v>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F3D-4943-ABFD-EC1798F2B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ICL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19-C2EB-4948-A5BC-6434F1B12745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1A-C2EB-4948-A5BC-6434F1B12745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1B-C2EB-4948-A5BC-6434F1B12745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1C-C2EB-4948-A5BC-6434F1B12745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1D-C2EB-4948-A5BC-6434F1B12745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1E-C2EB-4948-A5BC-6434F1B12745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1F-C2EB-4948-A5BC-6434F1B12745}"/>
              </c:ext>
            </c:extLst>
          </c:dPt>
          <c:val>
            <c:numRef>
              <c:f>Sheet1!$N$2:$N$8</c:f>
              <c:numCache>
                <c:formatCode>General</c:formatCode>
                <c:ptCount val="7"/>
                <c:pt idx="0">
                  <c:v>19</c:v>
                </c:pt>
                <c:pt idx="1">
                  <c:v>3</c:v>
                </c:pt>
                <c:pt idx="2">
                  <c:v>31</c:v>
                </c:pt>
                <c:pt idx="3">
                  <c:v>8</c:v>
                </c:pt>
                <c:pt idx="4">
                  <c:v>7</c:v>
                </c:pt>
                <c:pt idx="5">
                  <c:v>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2EB-4948-A5BC-6434F1B12745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2EB-4948-A5BC-6434F1B12745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2EB-4948-A5BC-6434F1B12745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2EB-4948-A5BC-6434F1B12745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2EB-4948-A5BC-6434F1B12745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2EB-4948-A5BC-6434F1B12745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2EB-4948-A5BC-6434F1B12745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2EB-4948-A5BC-6434F1B12745}"/>
              </c:ext>
            </c:extLst>
          </c:dPt>
          <c:val>
            <c:numRef>
              <c:f>Sheet1!$N$2:$N$8</c:f>
              <c:numCache>
                <c:formatCode>General</c:formatCode>
                <c:ptCount val="7"/>
                <c:pt idx="0">
                  <c:v>19</c:v>
                </c:pt>
                <c:pt idx="1">
                  <c:v>3</c:v>
                </c:pt>
                <c:pt idx="2">
                  <c:v>31</c:v>
                </c:pt>
                <c:pt idx="3">
                  <c:v>8</c:v>
                </c:pt>
                <c:pt idx="4">
                  <c:v>7</c:v>
                </c:pt>
                <c:pt idx="5">
                  <c:v>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2EB-4948-A5BC-6434F1B12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'Thr5'!$B$1</c:f>
              <c:strCache>
                <c:ptCount val="1"/>
                <c:pt idx="0">
                  <c:v>Me</c:v>
                </c:pt>
              </c:strCache>
            </c:strRef>
          </c:tx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E631-4AC1-BC17-5A1B41B8692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E631-4AC1-BC17-5A1B41B8692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E631-4AC1-BC17-5A1B41B8692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E631-4AC1-BC17-5A1B41B8692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E631-4AC1-BC17-5A1B41B8692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E631-4AC1-BC17-5A1B41B8692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E631-4AC1-BC17-5A1B41B86929}"/>
              </c:ext>
            </c:extLst>
          </c:dPt>
          <c:cat>
            <c:strRef>
              <c:f>'Thr5'!$A$2:$A$8</c:f>
              <c:strCache>
                <c:ptCount val="7"/>
                <c:pt idx="0">
                  <c:v>ACH</c:v>
                </c:pt>
                <c:pt idx="1">
                  <c:v>DA</c:v>
                </c:pt>
                <c:pt idx="2">
                  <c:v>GABA</c:v>
                </c:pt>
                <c:pt idx="3">
                  <c:v>GLUT</c:v>
                </c:pt>
                <c:pt idx="4">
                  <c:v>OCT</c:v>
                </c:pt>
                <c:pt idx="5">
                  <c:v>SER</c:v>
                </c:pt>
                <c:pt idx="6">
                  <c:v>Unidentified</c:v>
                </c:pt>
              </c:strCache>
            </c:strRef>
          </c:cat>
          <c:val>
            <c:numRef>
              <c:f>'Thr5'!$B$2:$B$8</c:f>
              <c:numCache>
                <c:formatCode>General</c:formatCode>
                <c:ptCount val="7"/>
                <c:pt idx="0">
                  <c:v>28</c:v>
                </c:pt>
                <c:pt idx="1">
                  <c:v>3</c:v>
                </c:pt>
                <c:pt idx="2">
                  <c:v>17</c:v>
                </c:pt>
                <c:pt idx="3">
                  <c:v>15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631-4AC1-BC17-5A1B41B86929}"/>
            </c:ext>
          </c:extLst>
        </c:ser>
        <c:ser>
          <c:idx val="0"/>
          <c:order val="1"/>
          <c:tx>
            <c:strRef>
              <c:f>'Thr5'!$B$1</c:f>
              <c:strCache>
                <c:ptCount val="1"/>
                <c:pt idx="0">
                  <c:v>Me</c:v>
                </c:pt>
              </c:strCache>
            </c:strRef>
          </c:tx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631-4AC1-BC17-5A1B41B8692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631-4AC1-BC17-5A1B41B8692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631-4AC1-BC17-5A1B41B8692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631-4AC1-BC17-5A1B41B8692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631-4AC1-BC17-5A1B41B8692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631-4AC1-BC17-5A1B41B8692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631-4AC1-BC17-5A1B41B86929}"/>
              </c:ext>
            </c:extLst>
          </c:dPt>
          <c:cat>
            <c:strRef>
              <c:f>'Thr5'!$A$2:$A$8</c:f>
              <c:strCache>
                <c:ptCount val="7"/>
                <c:pt idx="0">
                  <c:v>ACH</c:v>
                </c:pt>
                <c:pt idx="1">
                  <c:v>DA</c:v>
                </c:pt>
                <c:pt idx="2">
                  <c:v>GABA</c:v>
                </c:pt>
                <c:pt idx="3">
                  <c:v>GLUT</c:v>
                </c:pt>
                <c:pt idx="4">
                  <c:v>OCT</c:v>
                </c:pt>
                <c:pt idx="5">
                  <c:v>SER</c:v>
                </c:pt>
                <c:pt idx="6">
                  <c:v>Unidentified</c:v>
                </c:pt>
              </c:strCache>
            </c:strRef>
          </c:cat>
          <c:val>
            <c:numRef>
              <c:f>'Thr5'!$B$2:$B$8</c:f>
              <c:numCache>
                <c:formatCode>General</c:formatCode>
                <c:ptCount val="7"/>
                <c:pt idx="0">
                  <c:v>28</c:v>
                </c:pt>
                <c:pt idx="1">
                  <c:v>3</c:v>
                </c:pt>
                <c:pt idx="2">
                  <c:v>17</c:v>
                </c:pt>
                <c:pt idx="3">
                  <c:v>15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631-4AC1-BC17-5A1B41B86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DF52-43C8-B0BC-00C39B54EB4E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DF52-43C8-B0BC-00C39B54EB4E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DF52-43C8-B0BC-00C39B54EB4E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DF52-43C8-B0BC-00C39B54EB4E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DF52-43C8-B0BC-00C39B54EB4E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DF52-43C8-B0BC-00C39B54EB4E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DF52-43C8-B0BC-00C39B54EB4E}"/>
              </c:ext>
            </c:extLst>
          </c:dPt>
          <c:val>
            <c:numRef>
              <c:f>'Thr5'!$C$2:$C$8</c:f>
              <c:numCache>
                <c:formatCode>General</c:formatCode>
                <c:ptCount val="7"/>
                <c:pt idx="0">
                  <c:v>19</c:v>
                </c:pt>
                <c:pt idx="1">
                  <c:v>4</c:v>
                </c:pt>
                <c:pt idx="2">
                  <c:v>48</c:v>
                </c:pt>
                <c:pt idx="3">
                  <c:v>16</c:v>
                </c:pt>
                <c:pt idx="4">
                  <c:v>5</c:v>
                </c:pt>
                <c:pt idx="5">
                  <c:v>2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F52-43C8-B0BC-00C39B54EB4E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F52-43C8-B0BC-00C39B54EB4E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F52-43C8-B0BC-00C39B54EB4E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F52-43C8-B0BC-00C39B54EB4E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F52-43C8-B0BC-00C39B54EB4E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F52-43C8-B0BC-00C39B54EB4E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F52-43C8-B0BC-00C39B54EB4E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F52-43C8-B0BC-00C39B54EB4E}"/>
              </c:ext>
            </c:extLst>
          </c:dPt>
          <c:val>
            <c:numRef>
              <c:f>'Thr5'!$C$2:$C$8</c:f>
              <c:numCache>
                <c:formatCode>General</c:formatCode>
                <c:ptCount val="7"/>
                <c:pt idx="0">
                  <c:v>19</c:v>
                </c:pt>
                <c:pt idx="1">
                  <c:v>4</c:v>
                </c:pt>
                <c:pt idx="2">
                  <c:v>48</c:v>
                </c:pt>
                <c:pt idx="3">
                  <c:v>16</c:v>
                </c:pt>
                <c:pt idx="4">
                  <c:v>5</c:v>
                </c:pt>
                <c:pt idx="5">
                  <c:v>2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F52-43C8-B0BC-00C39B54E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LoP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C442-4C2F-8623-DEDF250A7A06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C442-4C2F-8623-DEDF250A7A06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C442-4C2F-8623-DEDF250A7A06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C442-4C2F-8623-DEDF250A7A06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C442-4C2F-8623-DEDF250A7A06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C442-4C2F-8623-DEDF250A7A06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C442-4C2F-8623-DEDF250A7A06}"/>
              </c:ext>
            </c:extLst>
          </c:dPt>
          <c:val>
            <c:numRef>
              <c:f>'Thr5'!$D$2:$D$8</c:f>
              <c:numCache>
                <c:formatCode>General</c:formatCode>
                <c:ptCount val="7"/>
                <c:pt idx="0">
                  <c:v>9</c:v>
                </c:pt>
                <c:pt idx="1">
                  <c:v>3</c:v>
                </c:pt>
                <c:pt idx="2">
                  <c:v>89</c:v>
                </c:pt>
                <c:pt idx="3">
                  <c:v>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42-4C2F-8623-DEDF250A7A06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442-4C2F-8623-DEDF250A7A06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442-4C2F-8623-DEDF250A7A06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442-4C2F-8623-DEDF250A7A06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442-4C2F-8623-DEDF250A7A06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442-4C2F-8623-DEDF250A7A06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442-4C2F-8623-DEDF250A7A06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C442-4C2F-8623-DEDF250A7A06}"/>
              </c:ext>
            </c:extLst>
          </c:dPt>
          <c:val>
            <c:numRef>
              <c:f>'Thr5'!$D$2:$D$8</c:f>
              <c:numCache>
                <c:formatCode>General</c:formatCode>
                <c:ptCount val="7"/>
                <c:pt idx="0">
                  <c:v>9</c:v>
                </c:pt>
                <c:pt idx="1">
                  <c:v>3</c:v>
                </c:pt>
                <c:pt idx="2">
                  <c:v>89</c:v>
                </c:pt>
                <c:pt idx="3">
                  <c:v>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442-4C2F-8623-DEDF250A7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1A40-4319-AA5C-115A054CA612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1A40-4319-AA5C-115A054CA612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1A40-4319-AA5C-115A054CA612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1A40-4319-AA5C-115A054CA612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1A40-4319-AA5C-115A054CA612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1A40-4319-AA5C-115A054CA612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1A40-4319-AA5C-115A054CA612}"/>
              </c:ext>
            </c:extLst>
          </c:dPt>
          <c:val>
            <c:numRef>
              <c:f>'Thr5'!$E$2:$E$8</c:f>
              <c:numCache>
                <c:formatCode>General</c:formatCode>
                <c:ptCount val="7"/>
                <c:pt idx="0">
                  <c:v>29</c:v>
                </c:pt>
                <c:pt idx="1">
                  <c:v>3</c:v>
                </c:pt>
                <c:pt idx="2">
                  <c:v>72</c:v>
                </c:pt>
                <c:pt idx="3">
                  <c:v>6</c:v>
                </c:pt>
                <c:pt idx="4">
                  <c:v>8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40-4319-AA5C-115A054CA612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A40-4319-AA5C-115A054CA612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A40-4319-AA5C-115A054CA612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A40-4319-AA5C-115A054CA612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A40-4319-AA5C-115A054CA612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A40-4319-AA5C-115A054CA612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A40-4319-AA5C-115A054CA612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A40-4319-AA5C-115A054CA612}"/>
              </c:ext>
            </c:extLst>
          </c:dPt>
          <c:val>
            <c:numRef>
              <c:f>'Thr5'!$E$2:$E$8</c:f>
              <c:numCache>
                <c:formatCode>General</c:formatCode>
                <c:ptCount val="7"/>
                <c:pt idx="0">
                  <c:v>29</c:v>
                </c:pt>
                <c:pt idx="1">
                  <c:v>3</c:v>
                </c:pt>
                <c:pt idx="2">
                  <c:v>72</c:v>
                </c:pt>
                <c:pt idx="3">
                  <c:v>6</c:v>
                </c:pt>
                <c:pt idx="4">
                  <c:v>8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40-4319-AA5C-115A054C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IPS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3C19-4AFB-B0F8-4E1BAC463AB5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3C19-4AFB-B0F8-4E1BAC463AB5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3C19-4AFB-B0F8-4E1BAC463AB5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3C19-4AFB-B0F8-4E1BAC463AB5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3C19-4AFB-B0F8-4E1BAC463AB5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3C19-4AFB-B0F8-4E1BAC463AB5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3C19-4AFB-B0F8-4E1BAC463AB5}"/>
              </c:ext>
            </c:extLst>
          </c:dPt>
          <c:val>
            <c:numRef>
              <c:f>'Thr5'!$F$2:$F$8</c:f>
              <c:numCache>
                <c:formatCode>General</c:formatCode>
                <c:ptCount val="7"/>
                <c:pt idx="0">
                  <c:v>18</c:v>
                </c:pt>
                <c:pt idx="1">
                  <c:v>2</c:v>
                </c:pt>
                <c:pt idx="2">
                  <c:v>92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C19-4AFB-B0F8-4E1BAC463AB5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C19-4AFB-B0F8-4E1BAC463AB5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C19-4AFB-B0F8-4E1BAC463AB5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C19-4AFB-B0F8-4E1BAC463AB5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C19-4AFB-B0F8-4E1BAC463AB5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3C19-4AFB-B0F8-4E1BAC463AB5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3C19-4AFB-B0F8-4E1BAC463AB5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3C19-4AFB-B0F8-4E1BAC463AB5}"/>
              </c:ext>
            </c:extLst>
          </c:dPt>
          <c:val>
            <c:numRef>
              <c:f>'Thr5'!$F$2:$F$8</c:f>
              <c:numCache>
                <c:formatCode>General</c:formatCode>
                <c:ptCount val="7"/>
                <c:pt idx="0">
                  <c:v>18</c:v>
                </c:pt>
                <c:pt idx="1">
                  <c:v>2</c:v>
                </c:pt>
                <c:pt idx="2">
                  <c:v>92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C19-4AFB-B0F8-4E1BAC463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7D41-4A5A-8B12-88DED62F233A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7D41-4A5A-8B12-88DED62F233A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7D41-4A5A-8B12-88DED62F233A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7D41-4A5A-8B12-88DED62F233A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7D41-4A5A-8B12-88DED62F233A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7D41-4A5A-8B12-88DED62F233A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7D41-4A5A-8B12-88DED62F233A}"/>
              </c:ext>
            </c:extLst>
          </c:dPt>
          <c:val>
            <c:numRef>
              <c:f>'Thr5'!$G$2:$G$8</c:f>
              <c:numCache>
                <c:formatCode>General</c:formatCode>
                <c:ptCount val="7"/>
                <c:pt idx="0">
                  <c:v>16</c:v>
                </c:pt>
                <c:pt idx="1">
                  <c:v>2</c:v>
                </c:pt>
                <c:pt idx="2">
                  <c:v>70</c:v>
                </c:pt>
                <c:pt idx="3">
                  <c:v>13</c:v>
                </c:pt>
                <c:pt idx="4">
                  <c:v>5</c:v>
                </c:pt>
                <c:pt idx="5">
                  <c:v>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D41-4A5A-8B12-88DED62F233A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D41-4A5A-8B12-88DED62F233A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D41-4A5A-8B12-88DED62F233A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D41-4A5A-8B12-88DED62F233A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D41-4A5A-8B12-88DED62F233A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7D41-4A5A-8B12-88DED62F233A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7D41-4A5A-8B12-88DED62F233A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7D41-4A5A-8B12-88DED62F233A}"/>
              </c:ext>
            </c:extLst>
          </c:dPt>
          <c:val>
            <c:numRef>
              <c:f>'Thr5'!$G$2:$G$8</c:f>
              <c:numCache>
                <c:formatCode>General</c:formatCode>
                <c:ptCount val="7"/>
                <c:pt idx="0">
                  <c:v>16</c:v>
                </c:pt>
                <c:pt idx="1">
                  <c:v>2</c:v>
                </c:pt>
                <c:pt idx="2">
                  <c:v>70</c:v>
                </c:pt>
                <c:pt idx="3">
                  <c:v>13</c:v>
                </c:pt>
                <c:pt idx="4">
                  <c:v>5</c:v>
                </c:pt>
                <c:pt idx="5">
                  <c:v>2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D41-4A5A-8B12-88DED62F2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GNG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F7A8-4638-8DCD-2F963D79939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F7A8-4638-8DCD-2F963D79939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F7A8-4638-8DCD-2F963D79939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F7A8-4638-8DCD-2F963D79939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F7A8-4638-8DCD-2F963D79939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F7A8-4638-8DCD-2F963D79939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F7A8-4638-8DCD-2F963D799399}"/>
              </c:ext>
            </c:extLst>
          </c:dPt>
          <c:val>
            <c:numRef>
              <c:f>'Thr5'!$H$2:$H$8</c:f>
              <c:numCache>
                <c:formatCode>General</c:formatCode>
                <c:ptCount val="7"/>
                <c:pt idx="0">
                  <c:v>25</c:v>
                </c:pt>
                <c:pt idx="1">
                  <c:v>3</c:v>
                </c:pt>
                <c:pt idx="2">
                  <c:v>31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7A8-4638-8DCD-2F963D799399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7A8-4638-8DCD-2F963D799399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7A8-4638-8DCD-2F963D799399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7A8-4638-8DCD-2F963D799399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7A8-4638-8DCD-2F963D799399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F7A8-4638-8DCD-2F963D799399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7A8-4638-8DCD-2F963D799399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7A8-4638-8DCD-2F963D799399}"/>
              </c:ext>
            </c:extLst>
          </c:dPt>
          <c:val>
            <c:numRef>
              <c:f>'Thr5'!$H$2:$H$8</c:f>
              <c:numCache>
                <c:formatCode>General</c:formatCode>
                <c:ptCount val="7"/>
                <c:pt idx="0">
                  <c:v>25</c:v>
                </c:pt>
                <c:pt idx="1">
                  <c:v>3</c:v>
                </c:pt>
                <c:pt idx="2">
                  <c:v>31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7A8-4638-8DCD-2F963D799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SPSL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4ED6-4AC2-B4D3-68302F0106E6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4ED6-4AC2-B4D3-68302F0106E6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4ED6-4AC2-B4D3-68302F0106E6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4ED6-4AC2-B4D3-68302F0106E6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4ED6-4AC2-B4D3-68302F0106E6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4ED6-4AC2-B4D3-68302F0106E6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4ED6-4AC2-B4D3-68302F0106E6}"/>
              </c:ext>
            </c:extLst>
          </c:dPt>
          <c:val>
            <c:numRef>
              <c:f>'Thr5'!$I$2:$I$8</c:f>
              <c:numCache>
                <c:formatCode>General</c:formatCode>
                <c:ptCount val="7"/>
                <c:pt idx="0">
                  <c:v>20</c:v>
                </c:pt>
                <c:pt idx="1">
                  <c:v>4</c:v>
                </c:pt>
                <c:pt idx="2">
                  <c:v>15</c:v>
                </c:pt>
                <c:pt idx="3">
                  <c:v>10</c:v>
                </c:pt>
                <c:pt idx="4">
                  <c:v>6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ED6-4AC2-B4D3-68302F0106E6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ED6-4AC2-B4D3-68302F0106E6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ED6-4AC2-B4D3-68302F0106E6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ED6-4AC2-B4D3-68302F0106E6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ED6-4AC2-B4D3-68302F0106E6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4ED6-4AC2-B4D3-68302F0106E6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ED6-4AC2-B4D3-68302F0106E6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4ED6-4AC2-B4D3-68302F0106E6}"/>
              </c:ext>
            </c:extLst>
          </c:dPt>
          <c:val>
            <c:numRef>
              <c:f>'Thr5'!$I$2:$I$8</c:f>
              <c:numCache>
                <c:formatCode>General</c:formatCode>
                <c:ptCount val="7"/>
                <c:pt idx="0">
                  <c:v>20</c:v>
                </c:pt>
                <c:pt idx="1">
                  <c:v>4</c:v>
                </c:pt>
                <c:pt idx="2">
                  <c:v>15</c:v>
                </c:pt>
                <c:pt idx="3">
                  <c:v>10</c:v>
                </c:pt>
                <c:pt idx="4">
                  <c:v>6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ED6-4AC2-B4D3-68302F010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WED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EF3C-4BF3-B12E-0298059017CE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EF3C-4BF3-B12E-0298059017CE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EF3C-4BF3-B12E-0298059017CE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EF3C-4BF3-B12E-0298059017CE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EF3C-4BF3-B12E-0298059017CE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EF3C-4BF3-B12E-0298059017CE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EF3C-4BF3-B12E-0298059017CE}"/>
              </c:ext>
            </c:extLst>
          </c:dPt>
          <c:val>
            <c:numRef>
              <c:f>'Thr5'!$J$2:$J$8</c:f>
              <c:numCache>
                <c:formatCode>General</c:formatCode>
                <c:ptCount val="7"/>
                <c:pt idx="0">
                  <c:v>9</c:v>
                </c:pt>
                <c:pt idx="1">
                  <c:v>0</c:v>
                </c:pt>
                <c:pt idx="2">
                  <c:v>33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F3C-4BF3-B12E-0298059017CE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F3C-4BF3-B12E-0298059017CE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F3C-4BF3-B12E-0298059017CE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F3C-4BF3-B12E-0298059017CE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F3C-4BF3-B12E-0298059017CE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F3C-4BF3-B12E-0298059017CE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F3C-4BF3-B12E-0298059017CE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F3C-4BF3-B12E-0298059017CE}"/>
              </c:ext>
            </c:extLst>
          </c:dPt>
          <c:val>
            <c:numRef>
              <c:f>'Thr5'!$J$2:$J$8</c:f>
              <c:numCache>
                <c:formatCode>General</c:formatCode>
                <c:ptCount val="7"/>
                <c:pt idx="0">
                  <c:v>9</c:v>
                </c:pt>
                <c:pt idx="1">
                  <c:v>0</c:v>
                </c:pt>
                <c:pt idx="2">
                  <c:v>33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F3C-4BF3-B12E-029805901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SAD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1352-4FF5-8B6D-763EE4EF2405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1352-4FF5-8B6D-763EE4EF2405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1352-4FF5-8B6D-763EE4EF2405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1352-4FF5-8B6D-763EE4EF2405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1352-4FF5-8B6D-763EE4EF2405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1352-4FF5-8B6D-763EE4EF2405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1352-4FF5-8B6D-763EE4EF2405}"/>
              </c:ext>
            </c:extLst>
          </c:dPt>
          <c:val>
            <c:numRef>
              <c:f>'Thr5'!$K$2:$K$8</c:f>
              <c:numCache>
                <c:formatCode>General</c:formatCode>
                <c:ptCount val="7"/>
                <c:pt idx="0">
                  <c:v>16</c:v>
                </c:pt>
                <c:pt idx="1">
                  <c:v>0</c:v>
                </c:pt>
                <c:pt idx="2">
                  <c:v>16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352-4FF5-8B6D-763EE4EF2405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352-4FF5-8B6D-763EE4EF2405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352-4FF5-8B6D-763EE4EF2405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352-4FF5-8B6D-763EE4EF2405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352-4FF5-8B6D-763EE4EF2405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352-4FF5-8B6D-763EE4EF2405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352-4FF5-8B6D-763EE4EF2405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352-4FF5-8B6D-763EE4EF2405}"/>
              </c:ext>
            </c:extLst>
          </c:dPt>
          <c:val>
            <c:numRef>
              <c:f>'Thr5'!$K$2:$K$8</c:f>
              <c:numCache>
                <c:formatCode>General</c:formatCode>
                <c:ptCount val="7"/>
                <c:pt idx="0">
                  <c:v>16</c:v>
                </c:pt>
                <c:pt idx="1">
                  <c:v>0</c:v>
                </c:pt>
                <c:pt idx="2">
                  <c:v>16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352-4FF5-8B6D-763EE4EF2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ICL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C234-4702-AF8F-45DAF0C9D24D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C234-4702-AF8F-45DAF0C9D24D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C234-4702-AF8F-45DAF0C9D24D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C234-4702-AF8F-45DAF0C9D24D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C234-4702-AF8F-45DAF0C9D24D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C234-4702-AF8F-45DAF0C9D24D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C234-4702-AF8F-45DAF0C9D24D}"/>
              </c:ext>
            </c:extLst>
          </c:dPt>
          <c:val>
            <c:numRef>
              <c:f>'Thr5'!$L$2:$L$8</c:f>
              <c:numCache>
                <c:formatCode>General</c:formatCode>
                <c:ptCount val="7"/>
                <c:pt idx="0">
                  <c:v>9</c:v>
                </c:pt>
                <c:pt idx="1">
                  <c:v>0</c:v>
                </c:pt>
                <c:pt idx="2">
                  <c:v>17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234-4702-AF8F-45DAF0C9D24D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234-4702-AF8F-45DAF0C9D24D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234-4702-AF8F-45DAF0C9D24D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C234-4702-AF8F-45DAF0C9D24D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C234-4702-AF8F-45DAF0C9D24D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234-4702-AF8F-45DAF0C9D24D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234-4702-AF8F-45DAF0C9D24D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C234-4702-AF8F-45DAF0C9D24D}"/>
              </c:ext>
            </c:extLst>
          </c:dPt>
          <c:val>
            <c:numRef>
              <c:f>'Thr5'!$L$2:$L$8</c:f>
              <c:numCache>
                <c:formatCode>General</c:formatCode>
                <c:ptCount val="7"/>
                <c:pt idx="0">
                  <c:v>9</c:v>
                </c:pt>
                <c:pt idx="1">
                  <c:v>0</c:v>
                </c:pt>
                <c:pt idx="2">
                  <c:v>17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234-4702-AF8F-45DAF0C9D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IB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8E84-4FD1-B891-D75A6FF5D3E8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8E84-4FD1-B891-D75A6FF5D3E8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8E84-4FD1-B891-D75A6FF5D3E8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8E84-4FD1-B891-D75A6FF5D3E8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8E84-4FD1-B891-D75A6FF5D3E8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8E84-4FD1-B891-D75A6FF5D3E8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8E84-4FD1-B891-D75A6FF5D3E8}"/>
              </c:ext>
            </c:extLst>
          </c:dPt>
          <c:val>
            <c:numRef>
              <c:f>'Thr5'!$M$2:$M$8</c:f>
              <c:numCache>
                <c:formatCode>General</c:formatCode>
                <c:ptCount val="7"/>
                <c:pt idx="0">
                  <c:v>14</c:v>
                </c:pt>
                <c:pt idx="1">
                  <c:v>1</c:v>
                </c:pt>
                <c:pt idx="2">
                  <c:v>15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84-4FD1-B891-D75A6FF5D3E8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E84-4FD1-B891-D75A6FF5D3E8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E84-4FD1-B891-D75A6FF5D3E8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E84-4FD1-B891-D75A6FF5D3E8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E84-4FD1-B891-D75A6FF5D3E8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E84-4FD1-B891-D75A6FF5D3E8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E84-4FD1-B891-D75A6FF5D3E8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E84-4FD1-B891-D75A6FF5D3E8}"/>
              </c:ext>
            </c:extLst>
          </c:dPt>
          <c:val>
            <c:numRef>
              <c:f>'Thr5'!$M$2:$M$8</c:f>
              <c:numCache>
                <c:formatCode>General</c:formatCode>
                <c:ptCount val="7"/>
                <c:pt idx="0">
                  <c:v>14</c:v>
                </c:pt>
                <c:pt idx="1">
                  <c:v>1</c:v>
                </c:pt>
                <c:pt idx="2">
                  <c:v>15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E84-4FD1-B891-D75A6FF5D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PVLP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F572D"/>
              </a:solidFill>
            </c:spPr>
            <c:extLst>
              <c:ext xmlns:c16="http://schemas.microsoft.com/office/drawing/2014/chart" uri="{C3380CC4-5D6E-409C-BE32-E72D297353CC}">
                <c16:uniqueId val="{00000001-2719-4FDA-B780-D1E73BB27CF5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</c:spPr>
            <c:extLst>
              <c:ext xmlns:c16="http://schemas.microsoft.com/office/drawing/2014/chart" uri="{C3380CC4-5D6E-409C-BE32-E72D297353CC}">
                <c16:uniqueId val="{00000003-2719-4FDA-B780-D1E73BB27CF5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</c:spPr>
            <c:extLst>
              <c:ext xmlns:c16="http://schemas.microsoft.com/office/drawing/2014/chart" uri="{C3380CC4-5D6E-409C-BE32-E72D297353CC}">
                <c16:uniqueId val="{00000005-2719-4FDA-B780-D1E73BB27CF5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</c:spPr>
            <c:extLst>
              <c:ext xmlns:c16="http://schemas.microsoft.com/office/drawing/2014/chart" uri="{C3380CC4-5D6E-409C-BE32-E72D297353CC}">
                <c16:uniqueId val="{00000007-2719-4FDA-B780-D1E73BB27CF5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</c:spPr>
            <c:extLst>
              <c:ext xmlns:c16="http://schemas.microsoft.com/office/drawing/2014/chart" uri="{C3380CC4-5D6E-409C-BE32-E72D297353CC}">
                <c16:uniqueId val="{00000009-2719-4FDA-B780-D1E73BB27CF5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</c:spPr>
            <c:extLst>
              <c:ext xmlns:c16="http://schemas.microsoft.com/office/drawing/2014/chart" uri="{C3380CC4-5D6E-409C-BE32-E72D297353CC}">
                <c16:uniqueId val="{0000000B-2719-4FDA-B780-D1E73BB27CF5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</c:spPr>
            <c:extLst>
              <c:ext xmlns:c16="http://schemas.microsoft.com/office/drawing/2014/chart" uri="{C3380CC4-5D6E-409C-BE32-E72D297353CC}">
                <c16:uniqueId val="{0000000D-2719-4FDA-B780-D1E73BB27CF5}"/>
              </c:ext>
            </c:extLst>
          </c:dPt>
          <c:val>
            <c:numRef>
              <c:f>'Thr5'!$N$2:$N$8</c:f>
              <c:numCache>
                <c:formatCode>General</c:formatCode>
                <c:ptCount val="7"/>
                <c:pt idx="0">
                  <c:v>6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19-4FDA-B780-D1E73BB27CF5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rgbClr val="CF572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719-4FDA-B780-D1E73BB27CF5}"/>
              </c:ext>
            </c:extLst>
          </c:dPt>
          <c:dPt>
            <c:idx val="1"/>
            <c:bubble3D val="0"/>
            <c:spPr>
              <a:solidFill>
                <a:srgbClr val="9627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719-4FDA-B780-D1E73BB27CF5}"/>
              </c:ext>
            </c:extLst>
          </c:dPt>
          <c:dPt>
            <c:idx val="2"/>
            <c:bubble3D val="0"/>
            <c:spPr>
              <a:solidFill>
                <a:srgbClr val="217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719-4FDA-B780-D1E73BB27CF5}"/>
              </c:ext>
            </c:extLst>
          </c:dPt>
          <c:dPt>
            <c:idx val="3"/>
            <c:bubble3D val="0"/>
            <c:spPr>
              <a:solidFill>
                <a:srgbClr val="78A6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2719-4FDA-B780-D1E73BB27CF5}"/>
              </c:ext>
            </c:extLst>
          </c:dPt>
          <c:dPt>
            <c:idx val="4"/>
            <c:bubble3D val="0"/>
            <c:spPr>
              <a:solidFill>
                <a:srgbClr val="793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2719-4FDA-B780-D1E73BB27CF5}"/>
              </c:ext>
            </c:extLst>
          </c:dPt>
          <c:dPt>
            <c:idx val="5"/>
            <c:bubble3D val="0"/>
            <c:spPr>
              <a:solidFill>
                <a:srgbClr val="E1A5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2719-4FDA-B780-D1E73BB27CF5}"/>
              </c:ext>
            </c:extLst>
          </c:dPt>
          <c:dPt>
            <c:idx val="6"/>
            <c:bubble3D val="0"/>
            <c:spPr>
              <a:solidFill>
                <a:srgbClr val="ABADB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2719-4FDA-B780-D1E73BB27CF5}"/>
              </c:ext>
            </c:extLst>
          </c:dPt>
          <c:val>
            <c:numRef>
              <c:f>'Thr5'!$N$2:$N$8</c:f>
              <c:numCache>
                <c:formatCode>General</c:formatCode>
                <c:ptCount val="7"/>
                <c:pt idx="0">
                  <c:v>6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719-4FDA-B780-D1E73BB27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200024</xdr:rowOff>
    </xdr:from>
    <xdr:to>
      <xdr:col>9</xdr:col>
      <xdr:colOff>273600</xdr:colOff>
      <xdr:row>26</xdr:row>
      <xdr:rowOff>28124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D03F54D-C19A-C038-F1F8-FE1A8557A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305080</xdr:colOff>
      <xdr:row>9</xdr:row>
      <xdr:rowOff>65554</xdr:rowOff>
    </xdr:from>
    <xdr:to>
      <xdr:col>17</xdr:col>
      <xdr:colOff>578680</xdr:colOff>
      <xdr:row>26</xdr:row>
      <xdr:rowOff>106566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E1E0C9C-527C-5695-A5CF-08A541D9B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681916</xdr:colOff>
      <xdr:row>8</xdr:row>
      <xdr:rowOff>14007</xdr:rowOff>
    </xdr:from>
    <xdr:to>
      <xdr:col>26</xdr:col>
      <xdr:colOff>315500</xdr:colOff>
      <xdr:row>25</xdr:row>
      <xdr:rowOff>144186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A556894-3687-83C6-81B2-66EFE92C8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855289</xdr:colOff>
      <xdr:row>26</xdr:row>
      <xdr:rowOff>15688</xdr:rowOff>
    </xdr:from>
    <xdr:to>
      <xdr:col>9</xdr:col>
      <xdr:colOff>187594</xdr:colOff>
      <xdr:row>43</xdr:row>
      <xdr:rowOff>53338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EEBF565-7484-D650-1DA9-8BE828FC7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233362</xdr:colOff>
      <xdr:row>26</xdr:row>
      <xdr:rowOff>84859</xdr:rowOff>
    </xdr:from>
    <xdr:to>
      <xdr:col>17</xdr:col>
      <xdr:colOff>506962</xdr:colOff>
      <xdr:row>43</xdr:row>
      <xdr:rowOff>122509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000B791-7072-CD4A-AC95-6816A80F9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61912</xdr:colOff>
      <xdr:row>26</xdr:row>
      <xdr:rowOff>59747</xdr:rowOff>
    </xdr:from>
    <xdr:to>
      <xdr:col>26</xdr:col>
      <xdr:colOff>342438</xdr:colOff>
      <xdr:row>43</xdr:row>
      <xdr:rowOff>95665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568BFF6-59F5-5486-02A8-87C12AD6B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735589</xdr:colOff>
      <xdr:row>44</xdr:row>
      <xdr:rowOff>18679</xdr:rowOff>
    </xdr:from>
    <xdr:to>
      <xdr:col>9</xdr:col>
      <xdr:colOff>50561</xdr:colOff>
      <xdr:row>61</xdr:row>
      <xdr:rowOff>6506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598A740C-D2B0-4627-79B9-144129E27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298549</xdr:colOff>
      <xdr:row>44</xdr:row>
      <xdr:rowOff>133952</xdr:rowOff>
    </xdr:from>
    <xdr:to>
      <xdr:col>17</xdr:col>
      <xdr:colOff>522002</xdr:colOff>
      <xdr:row>61</xdr:row>
      <xdr:rowOff>200289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D7BFB8E0-D12C-56C4-6BCD-4F3DE1502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439546</xdr:colOff>
      <xdr:row>44</xdr:row>
      <xdr:rowOff>163746</xdr:rowOff>
    </xdr:from>
    <xdr:to>
      <xdr:col>26</xdr:col>
      <xdr:colOff>67162</xdr:colOff>
      <xdr:row>62</xdr:row>
      <xdr:rowOff>86106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09B279D-D1EE-64CF-4773-24050723F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865475</xdr:colOff>
      <xdr:row>61</xdr:row>
      <xdr:rowOff>176645</xdr:rowOff>
    </xdr:from>
    <xdr:to>
      <xdr:col>9</xdr:col>
      <xdr:colOff>203894</xdr:colOff>
      <xdr:row>79</xdr:row>
      <xdr:rowOff>6477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3A0A01E0-1261-A8FA-88FF-4E1EFC3DE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268865</xdr:colOff>
      <xdr:row>61</xdr:row>
      <xdr:rowOff>199159</xdr:rowOff>
    </xdr:from>
    <xdr:to>
      <xdr:col>17</xdr:col>
      <xdr:colOff>542466</xdr:colOff>
      <xdr:row>79</xdr:row>
      <xdr:rowOff>28991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91007EFC-C9C9-3193-61EC-96EDC7928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545521</xdr:colOff>
      <xdr:row>62</xdr:row>
      <xdr:rowOff>5195</xdr:rowOff>
    </xdr:from>
    <xdr:to>
      <xdr:col>26</xdr:col>
      <xdr:colOff>103908</xdr:colOff>
      <xdr:row>78</xdr:row>
      <xdr:rowOff>155864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C77DC44-3210-AC70-DD2B-96C91BDC1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787976</xdr:colOff>
      <xdr:row>79</xdr:row>
      <xdr:rowOff>5195</xdr:rowOff>
    </xdr:from>
    <xdr:to>
      <xdr:col>9</xdr:col>
      <xdr:colOff>161636</xdr:colOff>
      <xdr:row>95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34384BBA-A73A-55CD-E6A1-A3BEC659B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200024</xdr:rowOff>
    </xdr:from>
    <xdr:to>
      <xdr:col>9</xdr:col>
      <xdr:colOff>273600</xdr:colOff>
      <xdr:row>26</xdr:row>
      <xdr:rowOff>28124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815A924-4EC4-4B42-A2A2-E4057FAD1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305080</xdr:colOff>
      <xdr:row>9</xdr:row>
      <xdr:rowOff>65554</xdr:rowOff>
    </xdr:from>
    <xdr:to>
      <xdr:col>17</xdr:col>
      <xdr:colOff>578680</xdr:colOff>
      <xdr:row>26</xdr:row>
      <xdr:rowOff>106566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C022B8D-CA42-4FE4-9DA1-A2DF43570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681916</xdr:colOff>
      <xdr:row>8</xdr:row>
      <xdr:rowOff>14007</xdr:rowOff>
    </xdr:from>
    <xdr:to>
      <xdr:col>26</xdr:col>
      <xdr:colOff>315500</xdr:colOff>
      <xdr:row>25</xdr:row>
      <xdr:rowOff>144186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79BF16-8614-4DD3-B2D4-A21ACB9D1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855289</xdr:colOff>
      <xdr:row>26</xdr:row>
      <xdr:rowOff>15688</xdr:rowOff>
    </xdr:from>
    <xdr:to>
      <xdr:col>9</xdr:col>
      <xdr:colOff>187594</xdr:colOff>
      <xdr:row>43</xdr:row>
      <xdr:rowOff>53338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580168A-6A96-4214-BDC0-14618E2C8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233362</xdr:colOff>
      <xdr:row>26</xdr:row>
      <xdr:rowOff>84859</xdr:rowOff>
    </xdr:from>
    <xdr:to>
      <xdr:col>17</xdr:col>
      <xdr:colOff>506962</xdr:colOff>
      <xdr:row>43</xdr:row>
      <xdr:rowOff>122509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3776306-507F-44CA-8489-A16157A4F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61912</xdr:colOff>
      <xdr:row>26</xdr:row>
      <xdr:rowOff>59747</xdr:rowOff>
    </xdr:from>
    <xdr:to>
      <xdr:col>26</xdr:col>
      <xdr:colOff>342438</xdr:colOff>
      <xdr:row>43</xdr:row>
      <xdr:rowOff>95665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4AF3B55-5DA9-48D3-895B-CE3BBB643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735589</xdr:colOff>
      <xdr:row>44</xdr:row>
      <xdr:rowOff>18679</xdr:rowOff>
    </xdr:from>
    <xdr:to>
      <xdr:col>9</xdr:col>
      <xdr:colOff>50561</xdr:colOff>
      <xdr:row>61</xdr:row>
      <xdr:rowOff>6506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6412B8E-0153-4C33-9D88-35508050E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298549</xdr:colOff>
      <xdr:row>44</xdr:row>
      <xdr:rowOff>133952</xdr:rowOff>
    </xdr:from>
    <xdr:to>
      <xdr:col>17</xdr:col>
      <xdr:colOff>522002</xdr:colOff>
      <xdr:row>61</xdr:row>
      <xdr:rowOff>200289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3658948-A5E2-4E8B-B7F0-F6B87DD30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439546</xdr:colOff>
      <xdr:row>44</xdr:row>
      <xdr:rowOff>163746</xdr:rowOff>
    </xdr:from>
    <xdr:to>
      <xdr:col>26</xdr:col>
      <xdr:colOff>67162</xdr:colOff>
      <xdr:row>62</xdr:row>
      <xdr:rowOff>86106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C5452DFA-4079-4E56-BC4B-4BD20C33E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865475</xdr:colOff>
      <xdr:row>61</xdr:row>
      <xdr:rowOff>176645</xdr:rowOff>
    </xdr:from>
    <xdr:to>
      <xdr:col>9</xdr:col>
      <xdr:colOff>203894</xdr:colOff>
      <xdr:row>79</xdr:row>
      <xdr:rowOff>6477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492E50AC-C1BA-42BF-8ACA-79C2145B0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268865</xdr:colOff>
      <xdr:row>61</xdr:row>
      <xdr:rowOff>199159</xdr:rowOff>
    </xdr:from>
    <xdr:to>
      <xdr:col>17</xdr:col>
      <xdr:colOff>542466</xdr:colOff>
      <xdr:row>79</xdr:row>
      <xdr:rowOff>28991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A4A8DCDD-1DC8-4025-9266-456949530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545521</xdr:colOff>
      <xdr:row>62</xdr:row>
      <xdr:rowOff>5195</xdr:rowOff>
    </xdr:from>
    <xdr:to>
      <xdr:col>26</xdr:col>
      <xdr:colOff>103908</xdr:colOff>
      <xdr:row>78</xdr:row>
      <xdr:rowOff>155864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D5BFC1DF-1880-4C61-9630-B1BCF3AA4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787976</xdr:colOff>
      <xdr:row>79</xdr:row>
      <xdr:rowOff>5195</xdr:rowOff>
    </xdr:from>
    <xdr:to>
      <xdr:col>9</xdr:col>
      <xdr:colOff>161636</xdr:colOff>
      <xdr:row>95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CBB066BC-9FED-4061-812C-20710329D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B2F2-B6FB-4AE1-A1E7-ED4E793DDB3C}">
  <dimension ref="A1:N9"/>
  <sheetViews>
    <sheetView zoomScale="85" zoomScaleNormal="85" workbookViewId="0">
      <selection activeCell="N8" sqref="N8"/>
    </sheetView>
  </sheetViews>
  <sheetFormatPr defaultRowHeight="16.5" x14ac:dyDescent="0.3"/>
  <cols>
    <col min="1" max="1" width="12.375" bestFit="1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5</v>
      </c>
      <c r="H1" t="s">
        <v>14</v>
      </c>
      <c r="I1" t="s">
        <v>4</v>
      </c>
      <c r="J1" t="s">
        <v>13</v>
      </c>
      <c r="K1" t="s">
        <v>15</v>
      </c>
      <c r="L1" t="s">
        <v>126</v>
      </c>
      <c r="M1" t="s">
        <v>127</v>
      </c>
      <c r="N1" t="s">
        <v>128</v>
      </c>
    </row>
    <row r="2" spans="1:14" x14ac:dyDescent="0.3">
      <c r="A2" t="s">
        <v>7</v>
      </c>
      <c r="B2">
        <v>30</v>
      </c>
      <c r="C2">
        <v>29</v>
      </c>
      <c r="D2">
        <v>9</v>
      </c>
      <c r="E2">
        <v>32</v>
      </c>
      <c r="F2">
        <v>33</v>
      </c>
      <c r="G2">
        <v>39</v>
      </c>
      <c r="H2">
        <v>11</v>
      </c>
      <c r="I2">
        <v>28</v>
      </c>
      <c r="J2">
        <v>27</v>
      </c>
      <c r="K2">
        <v>20</v>
      </c>
      <c r="L2">
        <v>30</v>
      </c>
      <c r="M2">
        <v>24</v>
      </c>
      <c r="N2">
        <v>19</v>
      </c>
    </row>
    <row r="3" spans="1:14" x14ac:dyDescent="0.3">
      <c r="A3" t="s">
        <v>8</v>
      </c>
      <c r="B3">
        <v>3</v>
      </c>
      <c r="C3">
        <v>4</v>
      </c>
      <c r="D3">
        <v>4</v>
      </c>
      <c r="E3">
        <v>3</v>
      </c>
      <c r="F3">
        <v>5</v>
      </c>
      <c r="G3">
        <v>5</v>
      </c>
      <c r="H3">
        <v>2</v>
      </c>
      <c r="I3">
        <v>5</v>
      </c>
      <c r="J3">
        <v>3</v>
      </c>
      <c r="K3">
        <v>2</v>
      </c>
      <c r="L3">
        <v>3</v>
      </c>
      <c r="M3">
        <v>4</v>
      </c>
      <c r="N3">
        <v>3</v>
      </c>
    </row>
    <row r="4" spans="1:14" x14ac:dyDescent="0.3">
      <c r="A4" t="s">
        <v>9</v>
      </c>
      <c r="B4">
        <v>22</v>
      </c>
      <c r="C4">
        <v>135</v>
      </c>
      <c r="D4">
        <v>101</v>
      </c>
      <c r="E4">
        <v>118</v>
      </c>
      <c r="F4">
        <v>123</v>
      </c>
      <c r="G4">
        <v>113</v>
      </c>
      <c r="H4">
        <v>74</v>
      </c>
      <c r="I4">
        <v>35</v>
      </c>
      <c r="J4">
        <v>41</v>
      </c>
      <c r="K4">
        <v>43</v>
      </c>
      <c r="L4">
        <v>28</v>
      </c>
      <c r="M4">
        <v>25</v>
      </c>
      <c r="N4">
        <v>31</v>
      </c>
    </row>
    <row r="5" spans="1:14" x14ac:dyDescent="0.3">
      <c r="A5" t="s">
        <v>10</v>
      </c>
      <c r="B5">
        <v>15</v>
      </c>
      <c r="C5">
        <v>21</v>
      </c>
      <c r="D5">
        <v>6</v>
      </c>
      <c r="E5">
        <v>19</v>
      </c>
      <c r="F5">
        <v>3</v>
      </c>
      <c r="G5">
        <v>12</v>
      </c>
      <c r="H5">
        <v>3</v>
      </c>
      <c r="I5">
        <v>13</v>
      </c>
      <c r="J5">
        <v>3</v>
      </c>
      <c r="K5">
        <v>2</v>
      </c>
      <c r="L5">
        <v>11</v>
      </c>
      <c r="M5">
        <v>11</v>
      </c>
      <c r="N5">
        <v>8</v>
      </c>
    </row>
    <row r="6" spans="1:14" x14ac:dyDescent="0.3">
      <c r="A6" s="1" t="s">
        <v>11</v>
      </c>
      <c r="B6">
        <v>7</v>
      </c>
      <c r="C6">
        <v>5</v>
      </c>
      <c r="D6">
        <v>3</v>
      </c>
      <c r="E6">
        <v>8</v>
      </c>
      <c r="F6">
        <v>7</v>
      </c>
      <c r="G6">
        <v>8</v>
      </c>
      <c r="H6">
        <v>7</v>
      </c>
      <c r="I6">
        <v>8</v>
      </c>
      <c r="J6">
        <v>8</v>
      </c>
      <c r="K6">
        <v>8</v>
      </c>
      <c r="L6">
        <v>8</v>
      </c>
      <c r="M6">
        <v>7</v>
      </c>
      <c r="N6">
        <v>7</v>
      </c>
    </row>
    <row r="7" spans="1:14" x14ac:dyDescent="0.3">
      <c r="A7" s="1" t="s">
        <v>12</v>
      </c>
      <c r="B7">
        <v>10</v>
      </c>
      <c r="C7">
        <v>4</v>
      </c>
      <c r="D7">
        <v>2</v>
      </c>
      <c r="E7">
        <v>2</v>
      </c>
      <c r="F7">
        <v>9</v>
      </c>
      <c r="G7">
        <v>7</v>
      </c>
      <c r="H7">
        <v>7</v>
      </c>
      <c r="I7">
        <v>10</v>
      </c>
      <c r="J7">
        <v>2</v>
      </c>
      <c r="K7">
        <v>2</v>
      </c>
      <c r="L7">
        <v>0</v>
      </c>
      <c r="M7">
        <v>7</v>
      </c>
      <c r="N7">
        <v>2</v>
      </c>
    </row>
    <row r="8" spans="1:14" x14ac:dyDescent="0.3">
      <c r="A8" t="s">
        <v>129</v>
      </c>
      <c r="B8">
        <v>19</v>
      </c>
      <c r="C8">
        <v>19</v>
      </c>
      <c r="D8">
        <v>0</v>
      </c>
      <c r="E8">
        <v>21</v>
      </c>
      <c r="F8">
        <v>7</v>
      </c>
      <c r="G8">
        <v>10</v>
      </c>
      <c r="H8">
        <v>4</v>
      </c>
      <c r="I8">
        <v>16</v>
      </c>
      <c r="J8">
        <v>2</v>
      </c>
      <c r="K8">
        <v>3</v>
      </c>
      <c r="L8">
        <v>7</v>
      </c>
      <c r="M8">
        <v>5</v>
      </c>
      <c r="N8">
        <v>7</v>
      </c>
    </row>
    <row r="9" spans="1:14" x14ac:dyDescent="0.3">
      <c r="B9">
        <f>SUM(B2:B8)</f>
        <v>106</v>
      </c>
      <c r="C9">
        <f t="shared" ref="C9:N9" si="0">SUM(C2:C8)</f>
        <v>217</v>
      </c>
      <c r="D9">
        <f t="shared" si="0"/>
        <v>125</v>
      </c>
      <c r="E9">
        <f t="shared" si="0"/>
        <v>203</v>
      </c>
      <c r="F9">
        <f t="shared" si="0"/>
        <v>187</v>
      </c>
      <c r="G9">
        <f t="shared" si="0"/>
        <v>194</v>
      </c>
      <c r="H9">
        <f t="shared" si="0"/>
        <v>108</v>
      </c>
      <c r="I9">
        <f t="shared" si="0"/>
        <v>115</v>
      </c>
      <c r="J9">
        <f t="shared" si="0"/>
        <v>86</v>
      </c>
      <c r="K9">
        <f t="shared" si="0"/>
        <v>80</v>
      </c>
      <c r="L9">
        <f t="shared" si="0"/>
        <v>87</v>
      </c>
      <c r="M9">
        <f t="shared" si="0"/>
        <v>83</v>
      </c>
      <c r="N9">
        <f t="shared" si="0"/>
        <v>77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8780-8615-4045-A5FE-E661A8DCD07D}">
  <dimension ref="A1:N9"/>
  <sheetViews>
    <sheetView tabSelected="1" zoomScale="70" zoomScaleNormal="70" workbookViewId="0">
      <selection activeCell="AF27" sqref="AF27"/>
    </sheetView>
  </sheetViews>
  <sheetFormatPr defaultRowHeight="16.5" x14ac:dyDescent="0.3"/>
  <cols>
    <col min="1" max="1" width="12.375" bestFit="1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3</v>
      </c>
      <c r="H1" t="s">
        <v>13</v>
      </c>
      <c r="I1" t="s">
        <v>127</v>
      </c>
      <c r="J1" t="s">
        <v>14</v>
      </c>
      <c r="K1" t="s">
        <v>15</v>
      </c>
      <c r="L1" t="s">
        <v>128</v>
      </c>
      <c r="M1" t="s">
        <v>126</v>
      </c>
      <c r="N1" t="s">
        <v>4</v>
      </c>
    </row>
    <row r="2" spans="1:14" x14ac:dyDescent="0.3">
      <c r="A2" t="s">
        <v>7</v>
      </c>
      <c r="B2">
        <v>28</v>
      </c>
      <c r="C2">
        <v>19</v>
      </c>
      <c r="D2">
        <v>9</v>
      </c>
      <c r="E2">
        <v>29</v>
      </c>
      <c r="F2">
        <v>18</v>
      </c>
      <c r="G2">
        <v>16</v>
      </c>
      <c r="H2">
        <v>25</v>
      </c>
      <c r="I2">
        <v>20</v>
      </c>
      <c r="J2">
        <v>9</v>
      </c>
      <c r="K2">
        <v>16</v>
      </c>
      <c r="L2">
        <v>9</v>
      </c>
      <c r="M2">
        <v>14</v>
      </c>
      <c r="N2">
        <v>6</v>
      </c>
    </row>
    <row r="3" spans="1:14" x14ac:dyDescent="0.3">
      <c r="A3" t="s">
        <v>8</v>
      </c>
      <c r="B3">
        <v>3</v>
      </c>
      <c r="C3">
        <v>4</v>
      </c>
      <c r="D3">
        <v>3</v>
      </c>
      <c r="E3">
        <v>3</v>
      </c>
      <c r="F3">
        <v>2</v>
      </c>
      <c r="G3">
        <v>2</v>
      </c>
      <c r="H3">
        <v>3</v>
      </c>
      <c r="I3">
        <v>4</v>
      </c>
      <c r="J3">
        <v>0</v>
      </c>
      <c r="K3">
        <v>0</v>
      </c>
      <c r="L3">
        <v>0</v>
      </c>
      <c r="M3">
        <v>1</v>
      </c>
      <c r="N3">
        <v>0</v>
      </c>
    </row>
    <row r="4" spans="1:14" x14ac:dyDescent="0.3">
      <c r="A4" t="s">
        <v>9</v>
      </c>
      <c r="B4">
        <v>17</v>
      </c>
      <c r="C4">
        <v>48</v>
      </c>
      <c r="D4">
        <v>89</v>
      </c>
      <c r="E4">
        <v>72</v>
      </c>
      <c r="F4">
        <v>92</v>
      </c>
      <c r="G4">
        <v>70</v>
      </c>
      <c r="H4">
        <v>31</v>
      </c>
      <c r="I4">
        <v>15</v>
      </c>
      <c r="J4">
        <v>33</v>
      </c>
      <c r="K4">
        <v>16</v>
      </c>
      <c r="L4">
        <v>17</v>
      </c>
      <c r="M4">
        <v>15</v>
      </c>
      <c r="N4">
        <v>10</v>
      </c>
    </row>
    <row r="5" spans="1:14" x14ac:dyDescent="0.3">
      <c r="A5" t="s">
        <v>10</v>
      </c>
      <c r="B5">
        <v>15</v>
      </c>
      <c r="C5">
        <v>16</v>
      </c>
      <c r="D5">
        <v>5</v>
      </c>
      <c r="E5">
        <v>6</v>
      </c>
      <c r="F5">
        <v>0</v>
      </c>
      <c r="G5">
        <v>13</v>
      </c>
      <c r="H5">
        <v>2</v>
      </c>
      <c r="I5">
        <v>10</v>
      </c>
      <c r="J5">
        <v>1</v>
      </c>
      <c r="K5">
        <v>2</v>
      </c>
      <c r="L5">
        <v>3</v>
      </c>
      <c r="M5">
        <v>3</v>
      </c>
      <c r="N5">
        <v>6</v>
      </c>
    </row>
    <row r="6" spans="1:14" x14ac:dyDescent="0.3">
      <c r="A6" s="1" t="s">
        <v>11</v>
      </c>
      <c r="B6">
        <v>6</v>
      </c>
      <c r="C6">
        <v>5</v>
      </c>
      <c r="D6">
        <v>3</v>
      </c>
      <c r="E6">
        <v>8</v>
      </c>
      <c r="F6">
        <v>6</v>
      </c>
      <c r="G6">
        <v>5</v>
      </c>
      <c r="H6">
        <v>6</v>
      </c>
      <c r="I6">
        <v>6</v>
      </c>
      <c r="J6">
        <v>2</v>
      </c>
      <c r="K6">
        <v>6</v>
      </c>
      <c r="L6">
        <v>5</v>
      </c>
      <c r="M6">
        <v>4</v>
      </c>
      <c r="N6">
        <v>4</v>
      </c>
    </row>
    <row r="7" spans="1:14" x14ac:dyDescent="0.3">
      <c r="A7" s="1" t="s">
        <v>12</v>
      </c>
      <c r="B7">
        <v>5</v>
      </c>
      <c r="C7">
        <v>2</v>
      </c>
      <c r="D7">
        <v>0</v>
      </c>
      <c r="E7">
        <v>0</v>
      </c>
      <c r="F7">
        <v>0</v>
      </c>
      <c r="G7">
        <v>2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3</v>
      </c>
    </row>
    <row r="8" spans="1:14" x14ac:dyDescent="0.3">
      <c r="A8" t="s">
        <v>129</v>
      </c>
      <c r="B8">
        <v>8</v>
      </c>
      <c r="C8">
        <v>11</v>
      </c>
      <c r="D8">
        <v>0</v>
      </c>
      <c r="E8">
        <v>4</v>
      </c>
      <c r="F8">
        <v>1</v>
      </c>
      <c r="G8">
        <v>8</v>
      </c>
      <c r="H8">
        <v>1</v>
      </c>
      <c r="I8">
        <v>2</v>
      </c>
      <c r="J8">
        <v>2</v>
      </c>
      <c r="K8">
        <v>2</v>
      </c>
      <c r="L8">
        <v>5</v>
      </c>
      <c r="M8">
        <v>2</v>
      </c>
      <c r="N8">
        <v>3</v>
      </c>
    </row>
    <row r="9" spans="1:14" x14ac:dyDescent="0.3">
      <c r="B9">
        <f>SUM(B2:B8)</f>
        <v>82</v>
      </c>
      <c r="C9">
        <f t="shared" ref="C9:N9" si="0">SUM(C2:C8)</f>
        <v>105</v>
      </c>
      <c r="D9">
        <f t="shared" si="0"/>
        <v>109</v>
      </c>
      <c r="E9">
        <f t="shared" si="0"/>
        <v>122</v>
      </c>
      <c r="F9">
        <f t="shared" si="0"/>
        <v>119</v>
      </c>
      <c r="G9">
        <f t="shared" si="0"/>
        <v>116</v>
      </c>
      <c r="H9">
        <f t="shared" si="0"/>
        <v>69</v>
      </c>
      <c r="I9">
        <f t="shared" si="0"/>
        <v>57</v>
      </c>
      <c r="J9">
        <f t="shared" si="0"/>
        <v>48</v>
      </c>
      <c r="K9">
        <f t="shared" si="0"/>
        <v>43</v>
      </c>
      <c r="L9">
        <f t="shared" si="0"/>
        <v>40</v>
      </c>
      <c r="M9">
        <f t="shared" si="0"/>
        <v>39</v>
      </c>
      <c r="N9">
        <f t="shared" si="0"/>
        <v>32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B782-D53F-436F-B000-C183B4CC5A9A}">
  <dimension ref="A1:M96"/>
  <sheetViews>
    <sheetView topLeftCell="A10" workbookViewId="0">
      <selection activeCell="L1" sqref="L1:M7"/>
    </sheetView>
  </sheetViews>
  <sheetFormatPr defaultRowHeight="16.5" x14ac:dyDescent="0.3"/>
  <cols>
    <col min="1" max="1" width="14.125" bestFit="1" customWidth="1"/>
  </cols>
  <sheetData>
    <row r="1" spans="1:13" x14ac:dyDescent="0.3">
      <c r="A1" t="s">
        <v>16</v>
      </c>
      <c r="B1">
        <v>2</v>
      </c>
      <c r="C1">
        <f>SUM(B:B)</f>
        <v>261</v>
      </c>
      <c r="F1" t="s">
        <v>113</v>
      </c>
      <c r="G1">
        <f>SUM(B1+B2+B3+B4+B5+B6+B7+B8+B9+B20+B96+B95+B94+B28+B93+B92+B91+B90+B89+B59+B60+B61+B67)</f>
        <v>40</v>
      </c>
      <c r="I1">
        <f>SUM(G:G)</f>
        <v>261</v>
      </c>
      <c r="L1" t="s">
        <v>122</v>
      </c>
      <c r="M1">
        <v>92</v>
      </c>
    </row>
    <row r="2" spans="1:13" x14ac:dyDescent="0.3">
      <c r="A2" t="s">
        <v>17</v>
      </c>
      <c r="B2">
        <v>1</v>
      </c>
      <c r="F2" t="s">
        <v>115</v>
      </c>
      <c r="G2">
        <f>SUM(B10:B19)</f>
        <v>14</v>
      </c>
      <c r="L2" t="s">
        <v>120</v>
      </c>
      <c r="M2">
        <v>46</v>
      </c>
    </row>
    <row r="3" spans="1:13" x14ac:dyDescent="0.3">
      <c r="A3" t="s">
        <v>18</v>
      </c>
      <c r="B3">
        <v>1</v>
      </c>
      <c r="F3" t="s">
        <v>117</v>
      </c>
      <c r="G3">
        <f>SUM(B21:B27)</f>
        <v>16</v>
      </c>
      <c r="L3" t="s">
        <v>124</v>
      </c>
      <c r="M3">
        <v>42</v>
      </c>
    </row>
    <row r="4" spans="1:13" x14ac:dyDescent="0.3">
      <c r="A4" t="s">
        <v>19</v>
      </c>
      <c r="B4">
        <v>2</v>
      </c>
      <c r="F4" t="s">
        <v>119</v>
      </c>
      <c r="G4">
        <f>SUM(B29:B33)</f>
        <v>11</v>
      </c>
      <c r="L4" t="s">
        <v>112</v>
      </c>
      <c r="M4">
        <v>40</v>
      </c>
    </row>
    <row r="5" spans="1:13" x14ac:dyDescent="0.3">
      <c r="A5" t="s">
        <v>20</v>
      </c>
      <c r="B5">
        <v>1</v>
      </c>
      <c r="F5" t="s">
        <v>121</v>
      </c>
      <c r="G5">
        <f>SUM(B34:B58)</f>
        <v>46</v>
      </c>
      <c r="L5" t="s">
        <v>116</v>
      </c>
      <c r="M5">
        <v>16</v>
      </c>
    </row>
    <row r="6" spans="1:13" x14ac:dyDescent="0.3">
      <c r="A6" t="s">
        <v>110</v>
      </c>
      <c r="B6">
        <v>2</v>
      </c>
      <c r="F6" t="s">
        <v>123</v>
      </c>
      <c r="G6">
        <f>SUM(B62:B66)</f>
        <v>92</v>
      </c>
      <c r="L6" t="s">
        <v>114</v>
      </c>
      <c r="M6">
        <v>14</v>
      </c>
    </row>
    <row r="7" spans="1:13" x14ac:dyDescent="0.3">
      <c r="A7" t="s">
        <v>21</v>
      </c>
      <c r="B7">
        <v>1</v>
      </c>
      <c r="F7" t="s">
        <v>125</v>
      </c>
      <c r="G7">
        <f>SUM(B68:B88)</f>
        <v>42</v>
      </c>
      <c r="L7" t="s">
        <v>118</v>
      </c>
      <c r="M7">
        <v>11</v>
      </c>
    </row>
    <row r="8" spans="1:13" x14ac:dyDescent="0.3">
      <c r="A8" t="s">
        <v>22</v>
      </c>
      <c r="B8">
        <v>1</v>
      </c>
    </row>
    <row r="9" spans="1:13" x14ac:dyDescent="0.3">
      <c r="A9" t="s">
        <v>23</v>
      </c>
      <c r="B9">
        <v>1</v>
      </c>
    </row>
    <row r="10" spans="1:13" x14ac:dyDescent="0.3">
      <c r="A10" t="s">
        <v>24</v>
      </c>
      <c r="B10">
        <v>1</v>
      </c>
    </row>
    <row r="11" spans="1:13" x14ac:dyDescent="0.3">
      <c r="A11" t="s">
        <v>25</v>
      </c>
      <c r="B11">
        <v>1</v>
      </c>
    </row>
    <row r="12" spans="1:13" x14ac:dyDescent="0.3">
      <c r="A12" t="s">
        <v>26</v>
      </c>
      <c r="B12">
        <v>1</v>
      </c>
    </row>
    <row r="13" spans="1:13" x14ac:dyDescent="0.3">
      <c r="A13" t="s">
        <v>27</v>
      </c>
      <c r="B13">
        <v>2</v>
      </c>
    </row>
    <row r="14" spans="1:13" x14ac:dyDescent="0.3">
      <c r="A14" t="s">
        <v>28</v>
      </c>
      <c r="B14">
        <v>1</v>
      </c>
    </row>
    <row r="15" spans="1:13" x14ac:dyDescent="0.3">
      <c r="A15" t="s">
        <v>29</v>
      </c>
      <c r="B15">
        <v>1</v>
      </c>
    </row>
    <row r="16" spans="1:13" x14ac:dyDescent="0.3">
      <c r="A16" t="s">
        <v>30</v>
      </c>
      <c r="B16">
        <v>1</v>
      </c>
    </row>
    <row r="17" spans="1:2" x14ac:dyDescent="0.3">
      <c r="A17" t="s">
        <v>31</v>
      </c>
      <c r="B17">
        <v>1</v>
      </c>
    </row>
    <row r="18" spans="1:2" x14ac:dyDescent="0.3">
      <c r="A18" t="s">
        <v>32</v>
      </c>
      <c r="B18">
        <v>1</v>
      </c>
    </row>
    <row r="19" spans="1:2" x14ac:dyDescent="0.3">
      <c r="A19" t="s">
        <v>33</v>
      </c>
      <c r="B19">
        <v>4</v>
      </c>
    </row>
    <row r="20" spans="1:2" x14ac:dyDescent="0.3">
      <c r="A20" t="s">
        <v>34</v>
      </c>
      <c r="B20">
        <v>6</v>
      </c>
    </row>
    <row r="21" spans="1:2" x14ac:dyDescent="0.3">
      <c r="A21" t="s">
        <v>35</v>
      </c>
      <c r="B21">
        <v>2</v>
      </c>
    </row>
    <row r="22" spans="1:2" x14ac:dyDescent="0.3">
      <c r="A22" t="s">
        <v>36</v>
      </c>
      <c r="B22">
        <v>4</v>
      </c>
    </row>
    <row r="23" spans="1:2" x14ac:dyDescent="0.3">
      <c r="A23" t="s">
        <v>37</v>
      </c>
      <c r="B23">
        <v>1</v>
      </c>
    </row>
    <row r="24" spans="1:2" x14ac:dyDescent="0.3">
      <c r="A24" t="s">
        <v>38</v>
      </c>
      <c r="B24">
        <v>2</v>
      </c>
    </row>
    <row r="25" spans="1:2" x14ac:dyDescent="0.3">
      <c r="A25" t="s">
        <v>39</v>
      </c>
      <c r="B25">
        <v>2</v>
      </c>
    </row>
    <row r="26" spans="1:2" x14ac:dyDescent="0.3">
      <c r="A26" t="s">
        <v>40</v>
      </c>
      <c r="B26">
        <v>1</v>
      </c>
    </row>
    <row r="27" spans="1:2" x14ac:dyDescent="0.3">
      <c r="A27" t="s">
        <v>41</v>
      </c>
      <c r="B27">
        <v>4</v>
      </c>
    </row>
    <row r="28" spans="1:2" x14ac:dyDescent="0.3">
      <c r="A28" t="s">
        <v>42</v>
      </c>
      <c r="B28">
        <v>1</v>
      </c>
    </row>
    <row r="29" spans="1:2" x14ac:dyDescent="0.3">
      <c r="A29" t="s">
        <v>43</v>
      </c>
      <c r="B29">
        <v>1</v>
      </c>
    </row>
    <row r="30" spans="1:2" x14ac:dyDescent="0.3">
      <c r="A30" t="s">
        <v>44</v>
      </c>
      <c r="B30">
        <v>1</v>
      </c>
    </row>
    <row r="31" spans="1:2" x14ac:dyDescent="0.3">
      <c r="A31" t="s">
        <v>45</v>
      </c>
      <c r="B31">
        <v>2</v>
      </c>
    </row>
    <row r="32" spans="1:2" x14ac:dyDescent="0.3">
      <c r="A32" t="s">
        <v>46</v>
      </c>
      <c r="B32">
        <v>2</v>
      </c>
    </row>
    <row r="33" spans="1:2" x14ac:dyDescent="0.3">
      <c r="A33" t="s">
        <v>47</v>
      </c>
      <c r="B33">
        <v>5</v>
      </c>
    </row>
    <row r="34" spans="1:2" x14ac:dyDescent="0.3">
      <c r="A34" t="s">
        <v>48</v>
      </c>
      <c r="B34">
        <v>8</v>
      </c>
    </row>
    <row r="35" spans="1:2" x14ac:dyDescent="0.3">
      <c r="A35" t="s">
        <v>49</v>
      </c>
      <c r="B35">
        <v>4</v>
      </c>
    </row>
    <row r="36" spans="1:2" x14ac:dyDescent="0.3">
      <c r="A36" t="s">
        <v>50</v>
      </c>
      <c r="B36">
        <v>4</v>
      </c>
    </row>
    <row r="37" spans="1:2" x14ac:dyDescent="0.3">
      <c r="A37" t="s">
        <v>51</v>
      </c>
      <c r="B37">
        <v>1</v>
      </c>
    </row>
    <row r="38" spans="1:2" x14ac:dyDescent="0.3">
      <c r="A38" t="s">
        <v>52</v>
      </c>
      <c r="B38">
        <v>1</v>
      </c>
    </row>
    <row r="39" spans="1:2" x14ac:dyDescent="0.3">
      <c r="A39" t="s">
        <v>53</v>
      </c>
      <c r="B39">
        <v>4</v>
      </c>
    </row>
    <row r="40" spans="1:2" x14ac:dyDescent="0.3">
      <c r="A40" t="s">
        <v>54</v>
      </c>
      <c r="B40">
        <v>2</v>
      </c>
    </row>
    <row r="41" spans="1:2" x14ac:dyDescent="0.3">
      <c r="A41" t="s">
        <v>55</v>
      </c>
      <c r="B41">
        <v>1</v>
      </c>
    </row>
    <row r="42" spans="1:2" x14ac:dyDescent="0.3">
      <c r="A42" t="s">
        <v>56</v>
      </c>
      <c r="B42">
        <v>1</v>
      </c>
    </row>
    <row r="43" spans="1:2" x14ac:dyDescent="0.3">
      <c r="A43" t="s">
        <v>57</v>
      </c>
      <c r="B43">
        <v>1</v>
      </c>
    </row>
    <row r="44" spans="1:2" x14ac:dyDescent="0.3">
      <c r="A44" t="s">
        <v>58</v>
      </c>
      <c r="B44">
        <v>1</v>
      </c>
    </row>
    <row r="45" spans="1:2" x14ac:dyDescent="0.3">
      <c r="A45" t="s">
        <v>59</v>
      </c>
      <c r="B45">
        <v>1</v>
      </c>
    </row>
    <row r="46" spans="1:2" x14ac:dyDescent="0.3">
      <c r="A46" t="s">
        <v>60</v>
      </c>
      <c r="B46">
        <v>1</v>
      </c>
    </row>
    <row r="47" spans="1:2" x14ac:dyDescent="0.3">
      <c r="A47" t="s">
        <v>61</v>
      </c>
      <c r="B47">
        <v>1</v>
      </c>
    </row>
    <row r="48" spans="1:2" x14ac:dyDescent="0.3">
      <c r="A48" t="s">
        <v>62</v>
      </c>
      <c r="B48">
        <v>1</v>
      </c>
    </row>
    <row r="49" spans="1:2" x14ac:dyDescent="0.3">
      <c r="A49" t="s">
        <v>63</v>
      </c>
      <c r="B49">
        <v>1</v>
      </c>
    </row>
    <row r="50" spans="1:2" x14ac:dyDescent="0.3">
      <c r="A50" t="s">
        <v>64</v>
      </c>
      <c r="B50">
        <v>1</v>
      </c>
    </row>
    <row r="51" spans="1:2" x14ac:dyDescent="0.3">
      <c r="A51" t="s">
        <v>65</v>
      </c>
      <c r="B51">
        <v>1</v>
      </c>
    </row>
    <row r="52" spans="1:2" x14ac:dyDescent="0.3">
      <c r="A52" t="s">
        <v>66</v>
      </c>
      <c r="B52">
        <v>2</v>
      </c>
    </row>
    <row r="53" spans="1:2" x14ac:dyDescent="0.3">
      <c r="A53" t="s">
        <v>67</v>
      </c>
      <c r="B53">
        <v>3</v>
      </c>
    </row>
    <row r="54" spans="1:2" x14ac:dyDescent="0.3">
      <c r="A54" t="s">
        <v>68</v>
      </c>
      <c r="B54">
        <v>1</v>
      </c>
    </row>
    <row r="55" spans="1:2" x14ac:dyDescent="0.3">
      <c r="A55" t="s">
        <v>69</v>
      </c>
      <c r="B55">
        <v>2</v>
      </c>
    </row>
    <row r="56" spans="1:2" x14ac:dyDescent="0.3">
      <c r="A56" t="s">
        <v>70</v>
      </c>
      <c r="B56">
        <v>1</v>
      </c>
    </row>
    <row r="57" spans="1:2" x14ac:dyDescent="0.3">
      <c r="A57" t="s">
        <v>71</v>
      </c>
      <c r="B57">
        <v>1</v>
      </c>
    </row>
    <row r="58" spans="1:2" x14ac:dyDescent="0.3">
      <c r="A58" t="s">
        <v>72</v>
      </c>
      <c r="B58">
        <v>1</v>
      </c>
    </row>
    <row r="59" spans="1:2" x14ac:dyDescent="0.3">
      <c r="A59" t="s">
        <v>73</v>
      </c>
      <c r="B59">
        <v>2</v>
      </c>
    </row>
    <row r="60" spans="1:2" x14ac:dyDescent="0.3">
      <c r="A60" t="s">
        <v>74</v>
      </c>
      <c r="B60">
        <v>3</v>
      </c>
    </row>
    <row r="61" spans="1:2" x14ac:dyDescent="0.3">
      <c r="A61" t="s">
        <v>75</v>
      </c>
      <c r="B61">
        <v>1</v>
      </c>
    </row>
    <row r="62" spans="1:2" x14ac:dyDescent="0.3">
      <c r="A62" t="s">
        <v>76</v>
      </c>
      <c r="B62">
        <v>27</v>
      </c>
    </row>
    <row r="63" spans="1:2" x14ac:dyDescent="0.3">
      <c r="A63" t="s">
        <v>77</v>
      </c>
      <c r="B63">
        <v>43</v>
      </c>
    </row>
    <row r="64" spans="1:2" x14ac:dyDescent="0.3">
      <c r="A64" t="s">
        <v>78</v>
      </c>
      <c r="B64">
        <v>20</v>
      </c>
    </row>
    <row r="65" spans="1:2" x14ac:dyDescent="0.3">
      <c r="A65" t="s">
        <v>79</v>
      </c>
      <c r="B65">
        <v>1</v>
      </c>
    </row>
    <row r="66" spans="1:2" x14ac:dyDescent="0.3">
      <c r="A66" t="s">
        <v>80</v>
      </c>
      <c r="B66">
        <v>1</v>
      </c>
    </row>
    <row r="67" spans="1:2" x14ac:dyDescent="0.3">
      <c r="A67" t="s">
        <v>81</v>
      </c>
      <c r="B67">
        <v>1</v>
      </c>
    </row>
    <row r="68" spans="1:2" x14ac:dyDescent="0.3">
      <c r="A68" t="s">
        <v>82</v>
      </c>
      <c r="B68">
        <v>1</v>
      </c>
    </row>
    <row r="69" spans="1:2" x14ac:dyDescent="0.3">
      <c r="A69" t="s">
        <v>83</v>
      </c>
      <c r="B69">
        <v>1</v>
      </c>
    </row>
    <row r="70" spans="1:2" x14ac:dyDescent="0.3">
      <c r="A70" t="s">
        <v>84</v>
      </c>
      <c r="B70">
        <v>1</v>
      </c>
    </row>
    <row r="71" spans="1:2" x14ac:dyDescent="0.3">
      <c r="A71" t="s">
        <v>85</v>
      </c>
      <c r="B71">
        <v>1</v>
      </c>
    </row>
    <row r="72" spans="1:2" x14ac:dyDescent="0.3">
      <c r="A72" t="s">
        <v>86</v>
      </c>
      <c r="B72">
        <v>1</v>
      </c>
    </row>
    <row r="73" spans="1:2" x14ac:dyDescent="0.3">
      <c r="A73" t="s">
        <v>87</v>
      </c>
      <c r="B73">
        <v>3</v>
      </c>
    </row>
    <row r="74" spans="1:2" x14ac:dyDescent="0.3">
      <c r="A74" t="s">
        <v>88</v>
      </c>
      <c r="B74">
        <v>3</v>
      </c>
    </row>
    <row r="75" spans="1:2" x14ac:dyDescent="0.3">
      <c r="A75" t="s">
        <v>89</v>
      </c>
      <c r="B75">
        <v>1</v>
      </c>
    </row>
    <row r="76" spans="1:2" x14ac:dyDescent="0.3">
      <c r="A76" t="s">
        <v>90</v>
      </c>
      <c r="B76">
        <v>1</v>
      </c>
    </row>
    <row r="77" spans="1:2" x14ac:dyDescent="0.3">
      <c r="A77" t="s">
        <v>91</v>
      </c>
      <c r="B77">
        <v>2</v>
      </c>
    </row>
    <row r="78" spans="1:2" x14ac:dyDescent="0.3">
      <c r="A78" t="s">
        <v>92</v>
      </c>
      <c r="B78">
        <v>2</v>
      </c>
    </row>
    <row r="79" spans="1:2" x14ac:dyDescent="0.3">
      <c r="A79" t="s">
        <v>93</v>
      </c>
      <c r="B79">
        <v>3</v>
      </c>
    </row>
    <row r="80" spans="1:2" x14ac:dyDescent="0.3">
      <c r="A80" t="s">
        <v>94</v>
      </c>
      <c r="B80">
        <v>3</v>
      </c>
    </row>
    <row r="81" spans="1:2" x14ac:dyDescent="0.3">
      <c r="A81" t="s">
        <v>95</v>
      </c>
      <c r="B81">
        <v>1</v>
      </c>
    </row>
    <row r="82" spans="1:2" x14ac:dyDescent="0.3">
      <c r="A82" t="s">
        <v>96</v>
      </c>
      <c r="B82">
        <v>1</v>
      </c>
    </row>
    <row r="83" spans="1:2" x14ac:dyDescent="0.3">
      <c r="A83" t="s">
        <v>97</v>
      </c>
      <c r="B83">
        <v>1</v>
      </c>
    </row>
    <row r="84" spans="1:2" x14ac:dyDescent="0.3">
      <c r="A84" t="s">
        <v>98</v>
      </c>
      <c r="B84">
        <v>1</v>
      </c>
    </row>
    <row r="85" spans="1:2" x14ac:dyDescent="0.3">
      <c r="A85" t="s">
        <v>99</v>
      </c>
      <c r="B85">
        <v>1</v>
      </c>
    </row>
    <row r="86" spans="1:2" x14ac:dyDescent="0.3">
      <c r="A86" t="s">
        <v>100</v>
      </c>
      <c r="B86">
        <v>1</v>
      </c>
    </row>
    <row r="87" spans="1:2" x14ac:dyDescent="0.3">
      <c r="A87" t="s">
        <v>101</v>
      </c>
      <c r="B87">
        <v>1</v>
      </c>
    </row>
    <row r="88" spans="1:2" x14ac:dyDescent="0.3">
      <c r="A88" t="s">
        <v>102</v>
      </c>
      <c r="B88">
        <v>12</v>
      </c>
    </row>
    <row r="89" spans="1:2" x14ac:dyDescent="0.3">
      <c r="A89" t="s">
        <v>103</v>
      </c>
      <c r="B89">
        <v>1</v>
      </c>
    </row>
    <row r="90" spans="1:2" x14ac:dyDescent="0.3">
      <c r="A90" t="s">
        <v>104</v>
      </c>
      <c r="B90">
        <v>1</v>
      </c>
    </row>
    <row r="91" spans="1:2" x14ac:dyDescent="0.3">
      <c r="A91" t="s">
        <v>105</v>
      </c>
      <c r="B91">
        <v>1</v>
      </c>
    </row>
    <row r="92" spans="1:2" x14ac:dyDescent="0.3">
      <c r="A92" t="s">
        <v>106</v>
      </c>
      <c r="B92">
        <v>2</v>
      </c>
    </row>
    <row r="93" spans="1:2" x14ac:dyDescent="0.3">
      <c r="A93" t="s">
        <v>111</v>
      </c>
      <c r="B93">
        <v>6</v>
      </c>
    </row>
    <row r="94" spans="1:2" x14ac:dyDescent="0.3">
      <c r="A94" t="s">
        <v>107</v>
      </c>
      <c r="B94">
        <v>1</v>
      </c>
    </row>
    <row r="95" spans="1:2" x14ac:dyDescent="0.3">
      <c r="A95" t="s">
        <v>108</v>
      </c>
      <c r="B95">
        <v>1</v>
      </c>
    </row>
    <row r="96" spans="1:2" x14ac:dyDescent="0.3">
      <c r="A96" t="s">
        <v>109</v>
      </c>
      <c r="B96">
        <v>1</v>
      </c>
    </row>
  </sheetData>
  <sortState xmlns:xlrd2="http://schemas.microsoft.com/office/spreadsheetml/2017/richdata2" ref="L1:M7">
    <sortCondition descending="1" ref="M1:M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Thr5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김성용</dc:creator>
  <cp:lastModifiedBy>김성용</cp:lastModifiedBy>
  <dcterms:created xsi:type="dcterms:W3CDTF">2024-12-02T02:33:52Z</dcterms:created>
  <dcterms:modified xsi:type="dcterms:W3CDTF">2026-05-18T06:15:30Z</dcterms:modified>
</cp:coreProperties>
</file>